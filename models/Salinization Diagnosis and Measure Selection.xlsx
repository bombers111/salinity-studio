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pcugroup-my.sharepoint.com/personal/bwessels_pcugroup_com/Documents/Bureaublad/Models/"/>
    </mc:Choice>
  </mc:AlternateContent>
  <xr:revisionPtr revIDLastSave="8" documentId="8_{BDF09230-5339-4CD1-AD8A-28A09C764802}" xr6:coauthVersionLast="47" xr6:coauthVersionMax="47" xr10:uidLastSave="{41A9A209-2906-4D88-8A65-4DDC2A0BE097}"/>
  <bookViews>
    <workbookView xWindow="-108" yWindow="-108" windowWidth="23256" windowHeight="12456" tabRatio="500" firstSheet="2" activeTab="3" xr2:uid="{00000000-000D-0000-FFFF-FFFF00000000}"/>
  </bookViews>
  <sheets>
    <sheet name="Explanation" sheetId="1" r:id="rId1"/>
    <sheet name="Dashboard" sheetId="2" r:id="rId2"/>
    <sheet name="Section A - Field Checklist" sheetId="3" r:id="rId3"/>
    <sheet name="Section B - Classification 1" sheetId="4" r:id="rId4"/>
    <sheet name="Section C - Measure Selection" sheetId="5" r:id="rId5"/>
    <sheet name="Section D - Classification 2" sheetId="6" r:id="rId6"/>
  </sheets>
  <definedNames>
    <definedName name="fa_ANYFB">Dashboard!$Q$66</definedName>
    <definedName name="fa_BD">Dashboard!$Q$54</definedName>
    <definedName name="fa_BUDGET">Dashboard!$Q$61</definedName>
    <definedName name="fa_CEC">Dashboard!$Q$55</definedName>
    <definedName name="fa_DEM">Dashboard!$Q$63</definedName>
    <definedName name="fa_ECe">Dashboard!$Q$41</definedName>
    <definedName name="fa_ECe_src">Dashboard!$Q$42</definedName>
    <definedName name="fa_ECgw">Dashboard!$Q$52</definedName>
    <definedName name="fa_ECt">Dashboard!$Q$60</definedName>
    <definedName name="fa_ECw">Dashboard!$Q$48</definedName>
    <definedName name="fa_ECw_src">Dashboard!$Q$49</definedName>
    <definedName name="fa_ESP">Dashboard!$Q$43</definedName>
    <definedName name="fa_FTEXT">Dashboard!$Q$39</definedName>
    <definedName name="fa_GWD">Dashboard!$Q$50</definedName>
    <definedName name="fa_INFIL">Dashboard!$Q$64</definedName>
    <definedName name="fa_K">Dashboard!$Q$53</definedName>
    <definedName name="fa_LIME">Dashboard!$Q$56</definedName>
    <definedName name="fa_LIMEHIGH">Dashboard!$Q$57</definedName>
    <definedName name="fa_MASTER">Dashboard!$Q$65</definedName>
    <definedName name="fa_NSEL">Dashboard!$Q$67</definedName>
    <definedName name="fa_PANS">Dashboard!$Q$40</definedName>
    <definedName name="fa_pH">Dashboard!$Q$46</definedName>
    <definedName name="fa_RESET">Dashboard!$Q$68</definedName>
    <definedName name="fa_RSC">Dashboard!$Q$58</definedName>
    <definedName name="fa_SHALLOW">Dashboard!$Q$51</definedName>
    <definedName name="fa_SOD">Dashboard!$Q$44</definedName>
    <definedName name="fa_SOD_src">Dashboard!$Q$45</definedName>
    <definedName name="fa_SODIC">Dashboard!$Q$47</definedName>
    <definedName name="fa_SOM">Dashboard!$Q$59</definedName>
    <definedName name="fa_TEXTURE">Dashboard!$Q$38</definedName>
    <definedName name="fa_TOPO">Dashboard!$Q$62</definedName>
    <definedName name="_xlnm.Print_Area" localSheetId="1">Dashboard!$B$1:$M$69</definedName>
    <definedName name="th_BD">Dashboard!$Q$12</definedName>
    <definedName name="th_ECeSLIGHT">Dashboard!$Q$6</definedName>
    <definedName name="th_ECgw">Dashboard!$Q$4</definedName>
    <definedName name="th_ECwHIGH">Dashboard!$Q$17</definedName>
    <definedName name="th_ECwLOW">Dashboard!$Q$16</definedName>
    <definedName name="th_FDEFAULT">Dashboard!$Q$20</definedName>
    <definedName name="th_GW">Dashboard!$Z$1</definedName>
    <definedName name="th_GWCRIT">Dashboard!$Q$21</definedName>
    <definedName name="th_K">Dashboard!$Q$11</definedName>
    <definedName name="th_LIME">Dashboard!$Z$2</definedName>
    <definedName name="th_pHCALC">Dashboard!$Q$10</definedName>
    <definedName name="th_pHSOD">Dashboard!$Q$9</definedName>
    <definedName name="th_RSC">Dashboard!$Q$14</definedName>
    <definedName name="th_SAL">Dashboard!$Q$5</definedName>
    <definedName name="th_SOD">Dashboard!$Q$7</definedName>
    <definedName name="th_SODHI">Dashboard!$Q$8</definedName>
    <definedName name="th_SOM">Dashboard!$Q$15</definedName>
    <definedName name="th_TDS">Dashboard!$Q$18</definedName>
    <definedName name="th_TOC">Dashboard!$Q$19</definedName>
    <definedName name="th_TOPO">Dashboard!$Q$13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8" i="6" l="1"/>
  <c r="A57" i="6"/>
  <c r="A56" i="6"/>
  <c r="A55" i="6"/>
  <c r="A54" i="6"/>
  <c r="A53" i="6"/>
  <c r="A52" i="6"/>
  <c r="A51" i="6"/>
  <c r="A50" i="6"/>
  <c r="A49" i="6"/>
  <c r="A48" i="6"/>
  <c r="A47" i="6"/>
  <c r="A46" i="6"/>
  <c r="A45" i="6"/>
  <c r="A44" i="6"/>
  <c r="A43" i="6"/>
  <c r="A42" i="6"/>
  <c r="A41" i="6"/>
  <c r="A40" i="6"/>
  <c r="A39" i="6"/>
  <c r="A38" i="6"/>
  <c r="P90" i="2"/>
  <c r="P89" i="2"/>
  <c r="P88" i="2"/>
  <c r="P87" i="2"/>
  <c r="P86" i="2"/>
  <c r="P85" i="2"/>
  <c r="P84" i="2"/>
  <c r="P83" i="2"/>
  <c r="P82" i="2"/>
  <c r="P81" i="2"/>
  <c r="P80" i="2"/>
  <c r="P79" i="2"/>
  <c r="P78" i="2"/>
  <c r="P77" i="2"/>
  <c r="P76" i="2"/>
  <c r="P75" i="2"/>
  <c r="P74" i="2"/>
  <c r="P73" i="2"/>
  <c r="P72" i="2"/>
  <c r="P71" i="2"/>
  <c r="P70" i="2"/>
  <c r="Q68" i="2"/>
  <c r="H31" i="3" s="1"/>
  <c r="Q46" i="2" l="1"/>
  <c r="E34" i="2"/>
  <c r="G34" i="2"/>
  <c r="Q72" i="2"/>
  <c r="Q76" i="2"/>
  <c r="Q80" i="2"/>
  <c r="Q84" i="2"/>
  <c r="Q88" i="2"/>
  <c r="H8" i="3"/>
  <c r="H18" i="3"/>
  <c r="F28" i="2" s="1"/>
  <c r="H28" i="3"/>
  <c r="F32" i="2" s="1"/>
  <c r="H38" i="3"/>
  <c r="F37" i="2" s="1"/>
  <c r="Q74" i="2"/>
  <c r="Q78" i="2"/>
  <c r="Q82" i="2"/>
  <c r="Q86" i="2"/>
  <c r="Q90" i="2"/>
  <c r="H12" i="3"/>
  <c r="H24" i="3"/>
  <c r="F30" i="2" s="1"/>
  <c r="H32" i="3"/>
  <c r="H5" i="3"/>
  <c r="H15" i="3"/>
  <c r="H25" i="3"/>
  <c r="H35" i="3"/>
  <c r="Q70" i="2"/>
  <c r="Q75" i="2"/>
  <c r="Q79" i="2"/>
  <c r="Q83" i="2"/>
  <c r="Q87" i="2"/>
  <c r="H6" i="3"/>
  <c r="F20" i="2" s="1"/>
  <c r="H16" i="3"/>
  <c r="F27" i="2" s="1"/>
  <c r="H26" i="3"/>
  <c r="F31" i="2" s="1"/>
  <c r="H36" i="3"/>
  <c r="F36" i="2" s="1"/>
  <c r="H7" i="3"/>
  <c r="H17" i="3"/>
  <c r="H27" i="3"/>
  <c r="H37" i="3"/>
  <c r="H9" i="3"/>
  <c r="Q43" i="2" s="1"/>
  <c r="H19" i="3"/>
  <c r="H29" i="3"/>
  <c r="H39" i="3"/>
  <c r="B3" i="2"/>
  <c r="Q67" i="2"/>
  <c r="Q73" i="2"/>
  <c r="Q77" i="2"/>
  <c r="Q81" i="2"/>
  <c r="Q85" i="2"/>
  <c r="Q89" i="2"/>
  <c r="H10" i="3"/>
  <c r="H20" i="3"/>
  <c r="H30" i="3"/>
  <c r="F33" i="2" s="1"/>
  <c r="Q71" i="2"/>
  <c r="H11" i="3"/>
  <c r="F22" i="2" s="1"/>
  <c r="H23" i="3"/>
  <c r="E70" i="2" l="1"/>
  <c r="B68" i="2"/>
  <c r="B66" i="2"/>
  <c r="B64" i="2"/>
  <c r="B62" i="2"/>
  <c r="B60" i="2"/>
  <c r="B58" i="2"/>
  <c r="B56" i="2"/>
  <c r="B54" i="2"/>
  <c r="B52" i="2"/>
  <c r="B70" i="2"/>
  <c r="H71" i="2"/>
  <c r="H69" i="2"/>
  <c r="H67" i="2"/>
  <c r="H65" i="2"/>
  <c r="H63" i="2"/>
  <c r="H61" i="2"/>
  <c r="H59" i="2"/>
  <c r="H57" i="2"/>
  <c r="H55" i="2"/>
  <c r="H53" i="2"/>
  <c r="E63" i="2"/>
  <c r="B71" i="2"/>
  <c r="B69" i="2"/>
  <c r="B67" i="2"/>
  <c r="B65" i="2"/>
  <c r="B63" i="2"/>
  <c r="B61" i="2"/>
  <c r="B59" i="2"/>
  <c r="B57" i="2"/>
  <c r="B55" i="2"/>
  <c r="B53" i="2"/>
  <c r="H72" i="2"/>
  <c r="E72" i="2"/>
  <c r="H68" i="2"/>
  <c r="H66" i="2"/>
  <c r="H64" i="2"/>
  <c r="H62" i="2"/>
  <c r="H60" i="2"/>
  <c r="H58" i="2"/>
  <c r="H56" i="2"/>
  <c r="H54" i="2"/>
  <c r="H52" i="2"/>
  <c r="B72" i="2"/>
  <c r="H70" i="2"/>
  <c r="E68" i="2"/>
  <c r="E66" i="2"/>
  <c r="E64" i="2"/>
  <c r="E62" i="2"/>
  <c r="E60" i="2"/>
  <c r="E58" i="2"/>
  <c r="E56" i="2"/>
  <c r="E54" i="2"/>
  <c r="E52" i="2"/>
  <c r="E71" i="2"/>
  <c r="E69" i="2"/>
  <c r="E67" i="2"/>
  <c r="E65" i="2"/>
  <c r="E61" i="2"/>
  <c r="E59" i="2"/>
  <c r="E57" i="2"/>
  <c r="E55" i="2"/>
  <c r="E53" i="2"/>
  <c r="B50" i="2"/>
  <c r="Q63" i="2"/>
  <c r="F29" i="2"/>
  <c r="Q50" i="2"/>
  <c r="G23" i="2"/>
  <c r="I23" i="2" s="1"/>
  <c r="E23" i="2"/>
  <c r="Q59" i="2"/>
  <c r="E36" i="2"/>
  <c r="G36" i="2"/>
  <c r="I36" i="2" s="1"/>
  <c r="G35" i="2"/>
  <c r="I35" i="2" s="1"/>
  <c r="E35" i="2"/>
  <c r="Q52" i="2"/>
  <c r="Q45" i="2"/>
  <c r="E12" i="2" s="1"/>
  <c r="G21" i="2"/>
  <c r="I21" i="2" s="1"/>
  <c r="E21" i="2"/>
  <c r="Q44" i="2"/>
  <c r="G22" i="2"/>
  <c r="I22" i="2" s="1"/>
  <c r="Q48" i="2"/>
  <c r="Q49" i="2"/>
  <c r="H12" i="2" s="1"/>
  <c r="E22" i="2"/>
  <c r="Q61" i="2"/>
  <c r="E38" i="2"/>
  <c r="G38" i="2"/>
  <c r="I38" i="2" s="1"/>
  <c r="G33" i="2"/>
  <c r="I33" i="2" s="1"/>
  <c r="Q58" i="2"/>
  <c r="O14" i="5" s="1"/>
  <c r="E33" i="2"/>
  <c r="Q62" i="2"/>
  <c r="O9" i="5" s="1"/>
  <c r="G29" i="2"/>
  <c r="I29" i="2" s="1"/>
  <c r="E29" i="2"/>
  <c r="Q54" i="2"/>
  <c r="E31" i="2"/>
  <c r="G31" i="2"/>
  <c r="Q57" i="2"/>
  <c r="Q56" i="2"/>
  <c r="O12" i="5" s="1"/>
  <c r="G32" i="2"/>
  <c r="E32" i="2"/>
  <c r="E27" i="2"/>
  <c r="Q53" i="2"/>
  <c r="G27" i="2"/>
  <c r="Q40" i="2"/>
  <c r="G28" i="2"/>
  <c r="I28" i="2" s="1"/>
  <c r="Q38" i="2"/>
  <c r="E28" i="2"/>
  <c r="Q55" i="2"/>
  <c r="E30" i="2"/>
  <c r="G30" i="2"/>
  <c r="E37" i="2"/>
  <c r="Q60" i="2"/>
  <c r="G37" i="2"/>
  <c r="I37" i="2" s="1"/>
  <c r="G20" i="2"/>
  <c r="I20" i="2" s="1"/>
  <c r="Q42" i="2"/>
  <c r="Q41" i="2"/>
  <c r="E20" i="2"/>
  <c r="F21" i="2"/>
  <c r="E13" i="2"/>
  <c r="E11" i="2" l="1"/>
  <c r="O8" i="5"/>
  <c r="Q47" i="2"/>
  <c r="O5" i="5"/>
  <c r="O4" i="5"/>
  <c r="Q51" i="2"/>
  <c r="I27" i="2" s="1"/>
  <c r="O19" i="5"/>
  <c r="O17" i="5"/>
  <c r="O23" i="5"/>
  <c r="O7" i="5"/>
  <c r="K12" i="2"/>
  <c r="O6" i="5"/>
  <c r="K11" i="2"/>
  <c r="O20" i="5"/>
  <c r="O18" i="5"/>
  <c r="B11" i="2"/>
  <c r="O16" i="5"/>
  <c r="O15" i="5"/>
  <c r="B12" i="2"/>
  <c r="Q66" i="2"/>
  <c r="B16" i="2"/>
  <c r="R31" i="2"/>
  <c r="R26" i="2"/>
  <c r="R30" i="2"/>
  <c r="R27" i="2"/>
  <c r="R35" i="2"/>
  <c r="R33" i="2"/>
  <c r="Q39" i="2" s="1"/>
  <c r="R28" i="2"/>
  <c r="R29" i="2"/>
  <c r="R25" i="2"/>
  <c r="R32" i="2"/>
  <c r="R24" i="2"/>
  <c r="R34" i="2"/>
  <c r="O21" i="5"/>
  <c r="H11" i="2"/>
  <c r="Q64" i="2"/>
  <c r="O24" i="5"/>
  <c r="O22" i="5"/>
  <c r="I31" i="2" l="1"/>
  <c r="I34" i="2"/>
  <c r="I32" i="2"/>
  <c r="F16" i="2"/>
  <c r="I30" i="2"/>
  <c r="B8" i="2"/>
  <c r="E44" i="2"/>
  <c r="Q65" i="2"/>
  <c r="B7" i="2" s="1"/>
  <c r="O10" i="5"/>
  <c r="G44" i="2"/>
  <c r="G45" i="2"/>
  <c r="E45" i="2"/>
  <c r="G46" i="2"/>
  <c r="E46" i="2"/>
  <c r="E47" i="2"/>
  <c r="E43" i="2"/>
  <c r="G47" i="2"/>
  <c r="G43" i="2"/>
  <c r="O11" i="5"/>
  <c r="O13" i="5"/>
  <c r="B6" i="2" l="1"/>
  <c r="B41" i="2"/>
</calcChain>
</file>

<file path=xl/sharedStrings.xml><?xml version="1.0" encoding="utf-8"?>
<sst xmlns="http://schemas.openxmlformats.org/spreadsheetml/2006/main" count="1699" uniqueCount="1168">
  <si>
    <t>SALINITY &amp; SODICITY DIAGNOSTIC DASHBOARD</t>
  </si>
  <si>
    <t>CALCULATION ENGINE (helper cells behind the fa_* and th_* names)</t>
  </si>
  <si>
    <t>All results are driven by Section A. Nothing on this sheet is typed in by hand except the reset control.</t>
  </si>
  <si>
    <t>RESET</t>
  </si>
  <si>
    <t>LIVE (normal use)</t>
  </si>
  <si>
    <t>Edit only the shaded threshold and factor cells. Everything else is formula-driven.</t>
  </si>
  <si>
    <t>THRESHOLDS</t>
  </si>
  <si>
    <t>A  |  DIAGNOSIS</t>
  </si>
  <si>
    <t>th_ECgw</t>
  </si>
  <si>
    <t>Saline groundwater if ECgw is at or above this (dS/m). Section B Table 11; Bhutta &amp; Smedema (2007).</t>
  </si>
  <si>
    <t>MASTER SOIL CLASSIFICATION</t>
  </si>
  <si>
    <t>th_SAL</t>
  </si>
  <si>
    <t>Saline soil if ECe is at or above this (dS/m). Richards (1954).</t>
  </si>
  <si>
    <t>th_ECeSLIGHT</t>
  </si>
  <si>
    <t>Lower bound of 'slightly saline', ECe (dS/m). Richards (1954).</t>
  </si>
  <si>
    <t>th_SOD</t>
  </si>
  <si>
    <t>Sodic if CROSS/SAR is at or above this. Richards (1954); Rengasamy &amp; Marchuk (2011).</t>
  </si>
  <si>
    <t>th_SODHI</t>
  </si>
  <si>
    <t>Lower bound of 'High Hazard' sodicity (CROSS/SAR). Project brief.</t>
  </si>
  <si>
    <t>th_pHSOD</t>
  </si>
  <si>
    <t>Sodic / free Na2CO3 if soil pH is above this. Richards (1954).</t>
  </si>
  <si>
    <t>P1   SOIL SALINITY (ECe)</t>
  </si>
  <si>
    <t>P1   SODICITY (CROSS / SAR / ESP)</t>
  </si>
  <si>
    <t>P1   IRRIGATION WATER (ECw)</t>
  </si>
  <si>
    <t>P1   GROUNDWATER DEPTH</t>
  </si>
  <si>
    <t>th_pHCALC</t>
  </si>
  <si>
    <t>Calcareous / alkaline if soil pH is at or above this. Project brief.</t>
  </si>
  <si>
    <t>th_K</t>
  </si>
  <si>
    <t>Subsoil K (m/day) below this is restrictive for pipe drainage. Project brief.</t>
  </si>
  <si>
    <t>th_BD</t>
  </si>
  <si>
    <t>Bulk density (g/cm3) above this triggers subsoiling. Project brief.</t>
  </si>
  <si>
    <t>P3   Soil pH  (supporting)</t>
  </si>
  <si>
    <t>pH above 8.5 only suggests sodicity: it is not an official criterion and does not replace a CROSS, SAR or ESP measurement. It is a Priority 3 input in this model.</t>
  </si>
  <si>
    <t>th_TOPO</t>
  </si>
  <si>
    <t>Micro-topography variance (cm) above this triggers laser leveling. Project brief.</t>
  </si>
  <si>
    <t>th_RSC</t>
  </si>
  <si>
    <t>Irrigation water RSC (meq/L) above this. Eaton (1950); Section B Table 18.</t>
  </si>
  <si>
    <t>B  |  BASELINE COMPLETENESS AND WHAT IS STILL MISSING</t>
  </si>
  <si>
    <t>th_SOM</t>
  </si>
  <si>
    <t>Soil organic matter (%) below this is low. Project brief.</t>
  </si>
  <si>
    <t>th_ECwLOW</t>
  </si>
  <si>
    <t>ECw (dS/m) above which use restriction starts. Ayers &amp; Westcot (1985).</t>
  </si>
  <si>
    <t>Priority 1 is the minimum the soil classification needs. Priority 2 to 4 are only required once the diagnosis calls for them, which is what the audit status column says.</t>
  </si>
  <si>
    <t>th_ECwHIGH</t>
  </si>
  <si>
    <t>ECw (dS/m) above which use restriction is severe. Ayers &amp; Westcot (1985).</t>
  </si>
  <si>
    <t>Tier 1   |   Priority 1, mandatory baseline</t>
  </si>
  <si>
    <t>th_TDS</t>
  </si>
  <si>
    <t>Divisor from TDS (mg/L) to ECw (dS/m). Section A row 'TDS'; Section B Table 9.</t>
  </si>
  <si>
    <t>Prio</t>
  </si>
  <si>
    <t>Parameter</t>
  </si>
  <si>
    <t>Primary</t>
  </si>
  <si>
    <t>Fallback</t>
  </si>
  <si>
    <t>Data source</t>
  </si>
  <si>
    <t>Audit status</t>
  </si>
  <si>
    <t>Why it is needed</t>
  </si>
  <si>
    <t>th_TOC</t>
  </si>
  <si>
    <t>Multiplier from TOC (%) to SOM (%). Section A row 'TOC'.</t>
  </si>
  <si>
    <t>P1</t>
  </si>
  <si>
    <t>Soil Salinity (ECe or EC1:5)</t>
  </si>
  <si>
    <t>Sets the salinity class and the leaching requirement. Without it there is no soil classification at all.</t>
  </si>
  <si>
    <t>th_FDEFAULT</t>
  </si>
  <si>
    <t>EC1:5 to ECe factor used when texture is blank (loam). Slavich &amp; Petterson (1993).</t>
  </si>
  <si>
    <t>Sodicity (CROSS or SAR / ESP)</t>
  </si>
  <si>
    <t>Decides whether leaching is safe. A sodic soil has to receive calcium before any fresh water is applied.</t>
  </si>
  <si>
    <t>th_GWCRIT</t>
  </si>
  <si>
    <t>Water table (m) below this is critical / waterlogged. Section B Table 10; Ritzema (1994).</t>
  </si>
  <si>
    <t>Irrigation Water Salinity (ECw or TDS)</t>
  </si>
  <si>
    <t>Gives the salt load added with every irrigation and the leaching fraction needed to keep the balance.</t>
  </si>
  <si>
    <t>EC1:5 TO ECe TEXTURE FACTORS (Slavich &amp; Petterson 1993)</t>
  </si>
  <si>
    <t>Groundwater Depth</t>
  </si>
  <si>
    <t>n/a</t>
  </si>
  <si>
    <t>A water table above 2.0 m drives capillary rise and decides whether drainage is needed at all.</t>
  </si>
  <si>
    <t>Texture keyword</t>
  </si>
  <si>
    <t>Factor f</t>
  </si>
  <si>
    <t>Keyword found in texture input?</t>
  </si>
  <si>
    <t>heavy clay</t>
  </si>
  <si>
    <t>Tier 2   |   Priority 2, 3 and 4, conditional and secondary</t>
  </si>
  <si>
    <t>medium clay</t>
  </si>
  <si>
    <t>sandy clay loam</t>
  </si>
  <si>
    <t>P2</t>
  </si>
  <si>
    <t>Hydraulic Conductivity (K)</t>
  </si>
  <si>
    <t>Sets the drain spacing (Hooghoudt). Required as soon as a shallow water table makes drainage necessary.</t>
  </si>
  <si>
    <t>clay loam</t>
  </si>
  <si>
    <t>Soil Texture &amp; Layering</t>
  </si>
  <si>
    <t>Supplies the EC1:5 to ECe factor and reveals clay or plough pans that block vertical flow.</t>
  </si>
  <si>
    <t>sandy clay</t>
  </si>
  <si>
    <t>Micro-topography &amp; Slope</t>
  </si>
  <si>
    <t>Shows the low spots that waterlog and the high spots where salt scalds appear. Basis for land leveling.</t>
  </si>
  <si>
    <t>silty clay</t>
  </si>
  <si>
    <t>P3</t>
  </si>
  <si>
    <t>Cation Exchange Capacity (CEC)</t>
  </si>
  <si>
    <t>Multiplier in the gypsum requirement. Without it the dose for a sodic soil cannot be quantified.</t>
  </si>
  <si>
    <t>light clay</t>
  </si>
  <si>
    <t>Soil Bulk Density</t>
  </si>
  <si>
    <t>Converts the gypsum requirement from a mass basis to tonnes per hectare over the reclamation depth.</t>
  </si>
  <si>
    <t>clay</t>
  </si>
  <si>
    <t>Native Lime (CaCO3)</t>
  </si>
  <si>
    <t>Decides whether cheap sulfur or acid can replace imported gypsum on a calcareous sodic soil.</t>
  </si>
  <si>
    <t>sandy loam</t>
  </si>
  <si>
    <t>Carbonate Risk (RSC / SARadj)</t>
  </si>
  <si>
    <t>Flags bicarbonate precipitation, which removes Ca and Mg from the water and raises the effective SAR.</t>
  </si>
  <si>
    <t>sand</t>
  </si>
  <si>
    <t>Soil pH</t>
  </si>
  <si>
    <t>Confirms free Na2CO3 above 8.5 and tells whether the acid route to reclamation is open.</t>
  </si>
  <si>
    <t>silt</t>
  </si>
  <si>
    <t>Groundwater Salinity (ECgw)</t>
  </si>
  <si>
    <t>Separates capillary salinization from plain waterlogging. Required whenever the water table is shallow.</t>
  </si>
  <si>
    <t>loam</t>
  </si>
  <si>
    <t>P4</t>
  </si>
  <si>
    <t>Soil Organic Matter (SOM / TOC)</t>
  </si>
  <si>
    <t>Organic matter holds the structure together against dispersion and supports every other measure.</t>
  </si>
  <si>
    <t>Crop Salt Tolerance (ECt)</t>
  </si>
  <si>
    <t>Threshold below which yield is unaffected. Needed to set the minimum leaching requirement.</t>
  </si>
  <si>
    <t>ACTIVE VALUES (Primary first, then Fallback)</t>
  </si>
  <si>
    <t>Capital &amp; Budget</t>
  </si>
  <si>
    <t>Decides whether high-capital drainage or low-capital agronomy is the realistic route.</t>
  </si>
  <si>
    <t>fa_TEXTURE</t>
  </si>
  <si>
    <t>Texture text: lab class, else hand test.</t>
  </si>
  <si>
    <t>fa_FTEXT</t>
  </si>
  <si>
    <t>EC1:5 to ECe factor for the texture (first keyword match; loam if none).</t>
  </si>
  <si>
    <t>C  |  WARNINGS AND CROSS-PARAMETER CHECKS</t>
  </si>
  <si>
    <t>fa_PANS</t>
  </si>
  <si>
    <t>1 if either texture entry mentions a pan or stratified layer (Section B Table 13).</t>
  </si>
  <si>
    <t>fa_ECe</t>
  </si>
  <si>
    <t>Active ECe (dS/m): saturated paste, else EC1:5 x texture factor.</t>
  </si>
  <si>
    <t>Check</t>
  </si>
  <si>
    <t>Status</t>
  </si>
  <si>
    <t>Finding and required action</t>
  </si>
  <si>
    <t>fa_ECe_src</t>
  </si>
  <si>
    <t>Source of active ECe.</t>
  </si>
  <si>
    <t>Shallow groundwater risk</t>
  </si>
  <si>
    <t>fa_ESP</t>
  </si>
  <si>
    <t>ESP as entered (%).</t>
  </si>
  <si>
    <t>Sodic Leaching Trap</t>
  </si>
  <si>
    <t>fa_SOD</t>
  </si>
  <si>
    <t>Active sodicity index: CROSS, else SAR, else ESP converted to SAR-equivalent with the USSL relation ESR = -0.0126 + 0.01475 SAR (Richards 1954).</t>
  </si>
  <si>
    <t>Infiltration risk (ECw vs. CROSS/SAR)</t>
  </si>
  <si>
    <t>fa_SOD_src</t>
  </si>
  <si>
    <t>Source of active sodicity.</t>
  </si>
  <si>
    <t>Sulfur/acid instead of gypsum</t>
  </si>
  <si>
    <t>fa_pH</t>
  </si>
  <si>
    <t>Soil pH.</t>
  </si>
  <si>
    <t>Drainage feasibility (K-value)</t>
  </si>
  <si>
    <t>fa_SODIC</t>
  </si>
  <si>
    <t>1 sodic, 0 not sodic, blank if undetermined. A measured CROSS/SAR (&gt;= th_SOD) or ESP (&gt;= 15%) always decides and pH is then ignored. Only when all three are missing does pH &gt; th_pHSOD give 1, as a presumption (not an official criterion); formulas test AND(fa_SOD="",fa_SODIC=1) for that case.</t>
  </si>
  <si>
    <t>fa_ECw</t>
  </si>
  <si>
    <t>Active ECw (dS/m): meter reading, else TDS / th_TDS.</t>
  </si>
  <si>
    <t>D  |  SELECTED MEASURES</t>
  </si>
  <si>
    <t>fa_ECw_src</t>
  </si>
  <si>
    <t>Source of active ECw.</t>
  </si>
  <si>
    <t>fa_GWD</t>
  </si>
  <si>
    <t>Groundwater depth (m).</t>
  </si>
  <si>
    <t>Category</t>
  </si>
  <si>
    <t>Selected measure</t>
  </si>
  <si>
    <t>Targeted agronomic / hydrological mechanism</t>
  </si>
  <si>
    <t>fa_SHALLOW</t>
  </si>
  <si>
    <t>1 if groundwater is shallow.</t>
  </si>
  <si>
    <t>fa_ECgw</t>
  </si>
  <si>
    <t>Groundwater salinity (dS/m).</t>
  </si>
  <si>
    <t>fa_K</t>
  </si>
  <si>
    <t>Active K (m/day): auger-hole, else PTF estimate.</t>
  </si>
  <si>
    <t>fa_BD</t>
  </si>
  <si>
    <t>Active bulk density (g/cm3).</t>
  </si>
  <si>
    <t>fa_CEC</t>
  </si>
  <si>
    <t>Active CEC (cmol/kg).</t>
  </si>
  <si>
    <t>fa_LIME</t>
  </si>
  <si>
    <t>Native lime (% CaCO3), lab value.</t>
  </si>
  <si>
    <t>fa_LIMEHIGH</t>
  </si>
  <si>
    <t>1 lime-rich, 0 lime-poor, blank unknown. Lab % first; the HCl test counts as lime-rich only for 'strong'/'violent'/'high' and lime-poor only for 'none'/'nil'/'absent' (screening reading).</t>
  </si>
  <si>
    <t>fa_RSC</t>
  </si>
  <si>
    <t>Residual sodium carbonate (meq/L).</t>
  </si>
  <si>
    <t>fa_SOM</t>
  </si>
  <si>
    <t>Active SOM (%): lab SOM, else TOC x th_TOC.</t>
  </si>
  <si>
    <t>fa_ECt</t>
  </si>
  <si>
    <t>Crop salt tolerance threshold (dS/m).</t>
  </si>
  <si>
    <t>fa_BUDGET</t>
  </si>
  <si>
    <t>Budget class: text, or EUR/ha mapped with Section B Table 21 (&lt; 100 Low, 100-500 Medium, &gt; 500 High).</t>
  </si>
  <si>
    <t>fa_TOPO</t>
  </si>
  <si>
    <t>Micro-topography variance (cm).</t>
  </si>
  <si>
    <t>fa_DEM</t>
  </si>
  <si>
    <t>1 if only a regional DEM value is available.</t>
  </si>
  <si>
    <t>fa_INFIL</t>
  </si>
  <si>
    <t>Infiltration restriction 0 none / 1 slight-moderate / 2 severe. FAO 29 Table 1 (Ayers &amp; Westcot 1985), SAR bands 0-3/3-6/6-12/12-20/20-40; soil CROSS/SAR used as proxy for irrigation-water SAR. Thresholds listed in Section B Table 22.</t>
  </si>
  <si>
    <t>fa_MASTER</t>
  </si>
  <si>
    <t>USDA/FAO class, Richards (1954): ECe &gt;= th_SAL and sodic flag. Without CROSS/SAR/ESP: 'Probably Sodic' if pH &gt; th_pHSOD (indicative, not an official criterion), otherwise 'Sodicity undetermined'.</t>
  </si>
  <si>
    <t>fa_ANYFB</t>
  </si>
  <si>
    <t>1 if the classification relies on any fallback metric.</t>
  </si>
  <si>
    <t>fa_NSEL</t>
  </si>
  <si>
    <t>Number of measures marked YES.</t>
  </si>
  <si>
    <t>fa_RESET</t>
  </si>
  <si>
    <t>1 when the reset control in K2 is set to RESET: every processed input and every measure tick is ignored.</t>
  </si>
  <si>
    <t>SELECTED-MEASURE INDEX (feeds Section D)</t>
  </si>
  <si>
    <t xml:space="preserve">
Salinization Diagnosis and Measure Selection Model
Overview
The Salinity &amp; Sodicity Diagnostic and Measure Selection Tool is an interactive decision-support system designed to translate raw soil, water, and groundwater data directly into actionable field interventions. Instead of requiring consultants and agronomists to manually interpret complicated laboratory reports, the model automatically determines the soil's degradation status; distinguishing between normal, saline, sodic, and saline-sodic conditions based on established international standards (Richards, 1954; Bos &amp; Wolters, 2006). It then acts as a dynamic screening filter: it evaluates an extensive portfolio of engineering works (such as subsurface drainage and canal lining), chemical amendments (like gypsum and sulfur), and agronomic techniques against your specific field numbers. By instantly flagging dangerous management errors, such as triggering total soil structure collapse by leaching sodic soils with fresh water, and scoring options by budget class, spatial scale, and time horizon, the tool allows project teams to design realistic, cost-effective rehabilitation packages that protect both crop yield and soil permeability over the long term.
</t>
  </si>
  <si>
    <t xml:space="preserve">
Dashboard (Diagnostic Overview)
The Dashboard is the automated control room and executive summary of the model, designed so that you never have to type data directly into it. It continuously reads your field numbers from Section A to determine the Master Soil Classification (Normal, Saline, Sodic, or Saline-Sodic) and evaluates the four primary risk indicators: rootzone salinity (ECe), sodicity hazard (CROSS/SAR/ESP), irrigation water salinity (ECw), and seasonal groundwater depth. It includes an audit tracker that tells you immediately whether your baseline dataset is complete or if critical measurements are still missing before you make decisions. A reset switch in cell K2 lets you toggle between active project results and a blank baseline to verify that formulas are responding properly.</t>
  </si>
  <si>
    <t xml:space="preserve">
Section A – Field Checklist (Baseline Data Input)
Section A is the dedicated input portal where you enter all raw field observations, soil surveys, and laboratory test results. It structures data by importance, starting with mandatory Priority 1 parameters: saturated paste extract salinity (ECe), sodium hazard ratios, irrigation water salinity, and groundwater table depth. If full laboratory data is not yet available, the sheet accepts practical field screening fallbacks (such as EC1:5 extracts or water TDS readings) and automatically applies texture-based conversion factors. It also records secondary soil properties, including permeability (K), topsoil pH, lime content (CaCO3), and regional climate data. Because every calculation across the entire workbook references these input rows, accurate data entry here controls the quality of the entire diagnosis.</t>
  </si>
  <si>
    <t xml:space="preserve">
Section B – Classification 1 (Diagnostic Criteria &amp; Soil Mechanics)
Section B serves as the scientific reference engine that translates raw measured numbers into physical soil diagnoses. It provides standard benchmark tables for soil salinity classes, sodium adsorption boundaries, infiltration risks, and drainage criteria. Beyond classification, it explains the physical mechanics behind soil degradation, such as clay swelling, aggregate breakdown, and surface crusting caused by high exchangeable sodium. Importantly, it highlights critical management rules, such as warning against the "leaching trap"; the costly mistake of flushing a sodic soil with fresh water before adding calcium amendments, which causes complete collapse of soil structure.</t>
  </si>
  <si>
    <t xml:space="preserve">
Section C – Measure Selection (Intervention Matrix)
Section C is an interactive action matrix containing an extensive library of engineering, chemical, and agronomic management measures. It covers physical interventions (such as subsurface pipe drainage, open ditches, and canal lining), chemical amendments (like gypsum and sulfur applications), and biological adaptations (including green manuring, mulching, and salt-tolerant crop varieties). A dynamic indicator automatically compares each measure against your site diagnosis from Section A, instantly flagging options as recommended, requiring more site data, or dangerous under current field conditions. Planners can use the final dropdown column to select and package feasible interventions for advisory reports, cost-benefit analyses, and field execution plans.</t>
  </si>
  <si>
    <t xml:space="preserve">
Section D – Classification 2 (Criteria Glossary &amp; Framework Definitions)
Section D is the reference guide and terminology dictionary that defines the evaluation criteria used in Section C. It outlines the operational boundaries for Strategic Goals (distinguishing between preventive action, ongoing mitigation, active soil remediation, and long-term crop adaptation). It also standardizes Budget Classes (ranging from low-cost farm inputs under $250/ha to major public infrastructure exceeding $2,000/ha), Spatial Scales (individual farm holdings versus regional irrigation districts), and Time Horizons (immediate relief versus multi-year investments). By establishing clear definitions for operational complexity and environmental risks (such as the disposal of saline drainage water), this sheet ensures project teams and stakeholders interpret recommendations consistently.</t>
  </si>
  <si>
    <t>FIELD ASSESSMENT &amp; DIAGNOSTIC PROTOCOL: 0-METING BASELINE</t>
  </si>
  <si>
    <t>Priority</t>
  </si>
  <si>
    <t>Input Category</t>
  </si>
  <si>
    <t>Input (drop-down)</t>
  </si>
  <si>
    <t>Input (manual)</t>
  </si>
  <si>
    <t>Field Parameter</t>
  </si>
  <si>
    <t>Final Processed Value</t>
  </si>
  <si>
    <t>Unit</t>
  </si>
  <si>
    <t>Field / Lab Measurement Method</t>
  </si>
  <si>
    <t>Diagnostic &amp; Project Impact</t>
  </si>
  <si>
    <t>Scientific Source &amp; Grounding</t>
  </si>
  <si>
    <t>Priority 1: Baseline Screening &amp; Assessing Risks</t>
  </si>
  <si>
    <t>Priority 1: Critical (Must-Have)</t>
  </si>
  <si>
    <t>Soil Salinity</t>
  </si>
  <si>
    <t>Soil ECe (Soil Salinity) [Primary]</t>
  </si>
  <si>
    <t>dS/m</t>
  </si>
  <si>
    <t>Conductivity test of saturated soil paste extract at 25°C</t>
  </si>
  <si>
    <t>Measures total dissolved salts and osmotic stress. Foundation for calculating leaching fractions.</t>
  </si>
  <si>
    <t>Richards (1954); Van Hoorn &amp; Van Alphen (1994)</t>
  </si>
  <si>
    <t>Soil EC1:5 / EM38 [Fallback]</t>
  </si>
  <si>
    <t>Conductivity test of 1:5 soil-water extract or field EM sensor scan</t>
  </si>
  <si>
    <t>Quick screening fallback. Diluted extracts alter chemical equilibrium if lime or gypsum is present.</t>
  </si>
  <si>
    <t>Dehaan &amp; Taylor (2002); Liu et al. (2025)</t>
  </si>
  <si>
    <t>Sodicity</t>
  </si>
  <si>
    <t>CROSS (Cation Ratio) [Primary Gold Std]</t>
  </si>
  <si>
    <t>(mmol/L)^0.5</t>
  </si>
  <si>
    <t>Lab ICP/AAS test of Na+, K+, Ca2+, Mg2+ in saturation extract</t>
  </si>
  <si>
    <t>Gold standard for clay dispersion. Accounts for K+ dispersion and distinct Ca2+ vs Mg2+ flocculating power.</t>
  </si>
  <si>
    <t>Rengasamy &amp; Marchuk (2011)</t>
  </si>
  <si>
    <t>SAR (Sodium Adsorption Ratio) [Secondary]</t>
  </si>
  <si>
    <t>Lab measurement of soluble Na+, Ca2+, and Mg2+ in saturation extract</t>
  </si>
  <si>
    <t>Standard benchmark for sodic hazard. Predicts aggregate breakdown and surface crusting.</t>
  </si>
  <si>
    <t>ESP (Exchangeable Sodium %) [Fallback]</t>
  </si>
  <si>
    <t>% of CEC</t>
  </si>
  <si>
    <t>Lab measurement of exchangeable Na+ relative to Cation Exchange Capacity (CEC)</t>
  </si>
  <si>
    <t>Measures Na+ adsorbed on clay complex. Usually calculated from SAR because CEC testing is slow.</t>
  </si>
  <si>
    <t>Irrigation Water Salinity</t>
  </si>
  <si>
    <t>Irrigation Water Salinity (ECw) [Primary]</t>
  </si>
  <si>
    <t>Direct field conductivity meter measurement of irrigation water source</t>
  </si>
  <si>
    <t>Determines external salt loading rate and required leaching fraction (LF) to maintain rootzone salt balance.</t>
  </si>
  <si>
    <t>Ayers &amp; Westcot (1985); Doneen (1954)</t>
  </si>
  <si>
    <t>Irrigation Water Salinity (TDS) [Fallback]</t>
  </si>
  <si>
    <t>mg/L (ppm)</t>
  </si>
  <si>
    <t>Gravimetric drying or estimated via TDS ≈ 640 * ECw</t>
  </si>
  <si>
    <t>Fallback when conductivity meter is unavailable; measures total solute mass rather than electrical charge.</t>
  </si>
  <si>
    <t>Doneen (1954); Karimzadeh et al. (2024)</t>
  </si>
  <si>
    <t>&gt; 2.0 m</t>
  </si>
  <si>
    <t>Groundwater Depth (Water Table) [Primary]</t>
  </si>
  <si>
    <t>Meters (m)</t>
  </si>
  <si>
    <t>Regular monitoring via network of grid-allocated piezometers or observation wells</t>
  </si>
  <si>
    <t>Water table &lt; 1.5 - 2.0 m triggers capillary rise of saline groundwater, causing rapid surface salinization.</t>
  </si>
  <si>
    <t>Ritzema (1994); Bhutta &amp; Smedema (2007)</t>
  </si>
  <si>
    <t>Priority 2: System Diagnosis &amp; Hydraulic Feasibility</t>
  </si>
  <si>
    <t>Priority 2: Essential (Design &amp; Engineering)</t>
  </si>
  <si>
    <t>Permeability</t>
  </si>
  <si>
    <t>Hydraulic Conductivity (K-value) [Primary]</t>
  </si>
  <si>
    <t>m/day</t>
  </si>
  <si>
    <t>In-situ field measurements using auger-hole method below water table or ring infiltrometer</t>
  </si>
  <si>
    <t>Single most critical parameter for subsurface drainage design. Determines drain pipe spacing (L).</t>
  </si>
  <si>
    <t>Ritzema (1994); Van Hoorn &amp; Van Alphen (1994)</t>
  </si>
  <si>
    <t>Hydraulic Conductivity (PTF) [Fallback]</t>
  </si>
  <si>
    <t>m/day (est.)</t>
  </si>
  <si>
    <t>Empirical Pedotransfer Function estimation based on sand, silt, clay, and bulk density</t>
  </si>
  <si>
    <t>Desktop fallback when field water flow testing is unfeasible. Less accurate in structured clay soils.</t>
  </si>
  <si>
    <t>Liu et al. (2025)</t>
  </si>
  <si>
    <t>Texture &amp; Horizonation</t>
  </si>
  <si>
    <t>Soil Texture &amp; Layering [Primary]</t>
  </si>
  <si>
    <t>USDA Class</t>
  </si>
  <si>
    <t>Sieve and hydrometer/pipette grain-size distribution analysis in laboratory</t>
  </si>
  <si>
    <t>Governs water retention, capillary rise height, and leaching efficiency. Clay seals block vertical flow.</t>
  </si>
  <si>
    <t>Richards (1954); Liu et al. (2025)</t>
  </si>
  <si>
    <t>Soil Texture (Hand Test) [Fallback]</t>
  </si>
  <si>
    <t>Textural Class</t>
  </si>
  <si>
    <t>Manual ribbon kneading test and visual auger logging in the field</t>
  </si>
  <si>
    <t>Quick field screening to classify soil texture and detect restrictive clay pans or hardpans during augering.</t>
  </si>
  <si>
    <t>Van Hoorn &amp; Van Alphen (1994)</t>
  </si>
  <si>
    <t>Topography &amp; Relief</t>
  </si>
  <si>
    <t>Micro-topography &amp; Slope [Primary]</t>
  </si>
  <si>
    <t>cm elevation / %</t>
  </si>
  <si>
    <t>Field survey using RTK-GPS leveling, optical leveling instruments, or drone LiDAR</t>
  </si>
  <si>
    <t>Uneven land causes water accumulation in depressions (anoxia) and salt scalds on high spots.</t>
  </si>
  <si>
    <t>Savva &amp; Frenken (2002); Singh (2019)</t>
  </si>
  <si>
    <t>Regional DEM (Satellite) [Fallback]</t>
  </si>
  <si>
    <t>m (grid)</t>
  </si>
  <si>
    <t>GIS satellite digital elevation model (e.g. SRTM / DEM) extraction</t>
  </si>
  <si>
    <t>Macro-scale elevation fallback. Lacks fine micro-relief resolution needed for precision land leveling.</t>
  </si>
  <si>
    <t>Yu et al. (2010); Serati et al. (2025)</t>
  </si>
  <si>
    <t>Priority 3: Chemical Reclamation &amp; Sodicity Quantification</t>
  </si>
  <si>
    <t>Priority 3: Conditional (Sodic Reclamation)</t>
  </si>
  <si>
    <t>Cation Exchange &amp; Buffer</t>
  </si>
  <si>
    <t>CEC (Cation Exchange Capacity) [Primary]</t>
  </si>
  <si>
    <t>meq/100g or cmol/kg</t>
  </si>
  <si>
    <t>Ammonium acetate extraction at pH 7.0 or sodium acetate exchange in certified laboratory</t>
  </si>
  <si>
    <t>Conditional: MUST-HAVE if soil is sodic (SAR ≥ 13, or pH &gt; 8.5 without SAR). Essential multiplier to calculate Gypsum Requirement.</t>
  </si>
  <si>
    <t>CEC (Regression Estimate) [Fallback]</t>
  </si>
  <si>
    <t>cmol/kg (est.)</t>
  </si>
  <si>
    <t>Empirical regression formula: CEC ≈ (0.5 * %Clay) + (2.0 * %SOM)</t>
  </si>
  <si>
    <t>Inexpensive estimation fallback when laboratory CEC distillation testing is unavailable.</t>
  </si>
  <si>
    <t>Physical Density</t>
  </si>
  <si>
    <t>Soil Bulk Density (ρb) [Primary]</t>
  </si>
  <si>
    <t>g/cm^3</t>
  </si>
  <si>
    <t>Undisturbed soil core ring sampling of known volume, dried at 105°C and weighed</t>
  </si>
  <si>
    <t>Conditional: MUST-HAVE if sodic. Required to convert mass-based gypsum requirement to volume-based field tons/ha.</t>
  </si>
  <si>
    <t>Van Hoorn &amp; Van Alphen (1994); Liu et al. (2025)</t>
  </si>
  <si>
    <t>Soil Bulk Density (Table Value) [Fallback]</t>
  </si>
  <si>
    <t>g/cm^3 (table)</t>
  </si>
  <si>
    <t>Standard soil physics table value based on soil texture class</t>
  </si>
  <si>
    <t>Practical default fallback for gypsum dosing calculations when physical core sampling cannot be performed.</t>
  </si>
  <si>
    <t>Native Lime Reserve</t>
  </si>
  <si>
    <t>Native Lime (CaCO3 Equivalent) [Primary]</t>
  </si>
  <si>
    <t>% CaCO3</t>
  </si>
  <si>
    <t>Acid neutralization / gas calcimeter (Scheibler) method in laboratory on soil samples</t>
  </si>
  <si>
    <t>Conditional: MUST-HAVE if sodic. High native lime allows cheap reclamation using elemental sulfur/acid instead of gypsum.</t>
  </si>
  <si>
    <t>Van Hoorn &amp; Van Alphen (1994); Liu et al. (2026)</t>
  </si>
  <si>
    <t>Native Lime (Field HCl Test) [Fallback]</t>
  </si>
  <si>
    <t>Qualitative Rating</t>
  </si>
  <si>
    <t>Field test applying 10% hydrochloric acid drops to soil sample and observing effervescence</t>
  </si>
  <si>
    <t>Quick qualitative field test to confirm whether soil contains lime before selecting chemical amendments.</t>
  </si>
  <si>
    <t>Carbonate Risk</t>
  </si>
  <si>
    <t>Residual Sodium Carbonate (RSC) [Primary]</t>
  </si>
  <si>
    <t>meq/L</t>
  </si>
  <si>
    <t>Titration of HCO3- and CO32- minus (Ca2+ + Mg2+) in irrigation water</t>
  </si>
  <si>
    <t>Assesses hazard of carbonate precipitation; RSC &gt; 2.5 meq/L causes Ca/Mg precipitation, elevating effective SAR.</t>
  </si>
  <si>
    <t>Eaton (1950); Ayers &amp; Westcot (1985)</t>
  </si>
  <si>
    <t>Adjusted SAR (SARadj) [Fallback]</t>
  </si>
  <si>
    <t>Computational adjustment of SAR accounting for potential bicarbonate precipitation</t>
  </si>
  <si>
    <t>Integrates carbonate precipitation directly into the irrigation water rating without separate RSC thresholding.</t>
  </si>
  <si>
    <t>Ayers &amp; Westcot (1985); Lesch &amp; Suarez (2009)</t>
  </si>
  <si>
    <t>Soil pH [Primary]</t>
  </si>
  <si>
    <t>pH scale (1-14)</t>
  </si>
  <si>
    <t>Lab 1:5 soil:water extract using calibrated digital pH electrode or field pen</t>
  </si>
  <si>
    <t>Direct indicator of sodic dispersion risk if pH &gt; 8.5. Dictates whether elemental sulfur/acid can dissolve native CaCO3.</t>
  </si>
  <si>
    <t>Richards (1954)</t>
  </si>
  <si>
    <t>Groundwater Salinity</t>
  </si>
  <si>
    <t>Groundwater Salinity (ECgw) [Primary]</t>
  </si>
  <si>
    <t>Direct conductivity measurement of groundwater sampled from piezometer network</t>
  </si>
  <si>
    <t>Determines the concentration of salts in shallow groundwater that will rise into the root zone upon evaporation.</t>
  </si>
  <si>
    <t>Bhutta &amp; Smedema (2007); Liu et al. (2025)</t>
  </si>
  <si>
    <t>Priority 4: Agronomic Adaptation &amp; Economic Feasibility</t>
  </si>
  <si>
    <t>Priority 4: Agronomic &amp; Management</t>
  </si>
  <si>
    <t>Organic Carbon</t>
  </si>
  <si>
    <t>Soil Organic Matter (SOM) [Primary]</t>
  </si>
  <si>
    <t>%</t>
  </si>
  <si>
    <t>Walkley-Black chromic acid wet oxidation or Loss on Ignition (LOI 550°C) in laboratory</t>
  </si>
  <si>
    <t>Promotes structural aggregation and biological activity. Stabilizes 'card-house' clay structure against sodic dispersion.</t>
  </si>
  <si>
    <t>Abrol et al. (1988); Ma et al. (2025)</t>
  </si>
  <si>
    <t>Total Organic Carbon (TOC) [Fallback]</t>
  </si>
  <si>
    <t>% TOC</t>
  </si>
  <si>
    <t>High-temperature dry combustion elemental analyzer (SOM ≈ 1.724 * TOC)</t>
  </si>
  <si>
    <t>Analytical fallback measuring elemental organic carbon; requires conversion factor to estimate SOM.</t>
  </si>
  <si>
    <t>Ma et al. (2025)</t>
  </si>
  <si>
    <t>Crop Tolerance</t>
  </si>
  <si>
    <t>Crop/Cultivar Salt Tolerance (ECt) [Primary]</t>
  </si>
  <si>
    <t>Lookup from standard agronomic reference databases (Maas-Hoffman 1977 or FAO guidelines)</t>
  </si>
  <si>
    <t>Determines threshold soil salinity (ECt) before yield decline begins. Vital to calculate minimum leaching requirement.</t>
  </si>
  <si>
    <t>Maas &amp; Hoffman (1977); Singh (2019)</t>
  </si>
  <si>
    <t>Local Yield / Crop Group [Fallback]</t>
  </si>
  <si>
    <t>Relative Yield %</t>
  </si>
  <si>
    <t>Local farmer yield history and empirical crop group comparison</t>
  </si>
  <si>
    <t>Practical fallback when cultivar-specific tolerance curves are unavailable in published literature.</t>
  </si>
  <si>
    <t>Karimzadeh et al. (2024)</t>
  </si>
  <si>
    <t>Socio-Economic &amp; Available Budget [Primary]</t>
  </si>
  <si>
    <t>Qualitative / €/ha</t>
  </si>
  <si>
    <t>Farmers' household surveys, structured interviews, and agricultural record audits</t>
  </si>
  <si>
    <t>Dictates financial feasibility of high-capital engineering (subsurface pipe drainage) vs low-capital agronomic shifts.</t>
  </si>
  <si>
    <t>Janmaat (2005); Bhutta &amp; Smedema (2007)</t>
  </si>
  <si>
    <t>SECTION B: DIAGNOSTIC CRITERIA &amp; SOIL CLASSIFICATION (THE BRIDGE)</t>
  </si>
  <si>
    <t>Comprehensive Classification Framework, Thresholds, Action Protocols &amp; Grounding Citations Per Row</t>
  </si>
  <si>
    <t>TABLE 1: MASTER SOIL CLASSIFICATION FRAMEWORK (Richards 1954 / USSL / FAO)</t>
  </si>
  <si>
    <t>Soil Classification</t>
  </si>
  <si>
    <t>ECe Threshold (dS/m)</t>
  </si>
  <si>
    <t>SAR / ESP Boundary</t>
  </si>
  <si>
    <t>Typical Soil pH (Descriptive)</t>
  </si>
  <si>
    <t>Physical &amp; Structural Status</t>
  </si>
  <si>
    <t>Agronomic / Physical Hazard</t>
  </si>
  <si>
    <t>Immediate Action / Protocol &amp; Scientific Source</t>
  </si>
  <si>
    <t>Normal / Calcareous Soil</t>
  </si>
  <si>
    <t>&lt; 4.0 dS/m</t>
  </si>
  <si>
    <t>SAR &lt; 13
ESP &lt; 15%</t>
  </si>
  <si>
    <t>&lt; 8.3 (Neutral to slightly alkaline)</t>
  </si>
  <si>
    <t>Stable 'card-house' aggregate structure; Ca2+ and Mg2+ dominate the exchange complex.</t>
  </si>
  <si>
    <t>None; optimal water infiltration, soil tilth, and plant water uptake are fully maintained.</t>
  </si>
  <si>
    <t>No chemical reclamation required. Monitor groundwater depth to prevent future rising. [Richards, 1954]</t>
  </si>
  <si>
    <t>Saline Soil ('White Alkali')</t>
  </si>
  <si>
    <t>≥ 4.0 dS/m</t>
  </si>
  <si>
    <t>&lt; 8.5 (Buffered by neutral salts)</t>
  </si>
  <si>
    <t>Structure remains flocculated and pore spaces intact due to high electrolyte concentration.</t>
  </si>
  <si>
    <t>Severe Osmotic Stress; plants experience 'physiological drought'. Visible salt scalds on drying.</t>
  </si>
  <si>
    <t>Washing/leaching with high-quality water is safe. Install subsurface drainage (SPD) to discharge flushed salts. [Richards, 1954; Van Hoorn &amp; Van Alphen, 1994]</t>
  </si>
  <si>
    <t>Sodic Soil ('Black Alkali')</t>
  </si>
  <si>
    <t>SAR ≥ 13
ESP ≥ 15%</t>
  </si>
  <si>
    <t>&gt; 8.5 (Can reach 10.0 due to Na2CO3)</t>
  </si>
  <si>
    <t>Severe clay dispersion, swelling, aggregate collapse, soil pore clogging, surface crusting.</t>
  </si>
  <si>
    <t>Total structural collapse; formation of an impenetrable physical crust that blocks water and seedling emergence.</t>
  </si>
  <si>
    <t>DO NOT FLUSH WITH FRESH WATER! Incorporate Gypsum (CaSO4) first to displace Na+ with Ca2+, then leach and drain. [Richards, 1954; Abrol et al., 1988]</t>
  </si>
  <si>
    <t>Saline-Sodic Soil</t>
  </si>
  <si>
    <t>Variable (&lt; 8.5, but &gt; 8.5 if Na2CO3 present)</t>
  </si>
  <si>
    <t>Temporarily stable due to high salinity, but structurally highly unstable to fresh water.</t>
  </si>
  <si>
    <t>The 'Leaching Trap'; flushing salts without calcium drops salinity first, causing DDL expansion and immediate dispersion.</t>
  </si>
  <si>
    <t>Apply Gypsum (or sulfur/acid if calcareous) before or during leaching to maintain structural integrity as salinity drops. [Richards, 1954; Van Hoorn &amp; Van Alphen, 1994]</t>
  </si>
  <si>
    <t>TABLE 2: SOIL REACTION (pH) — DESCRIPTIVE ALKALINITY INDICATOR</t>
  </si>
  <si>
    <t>Parameter Name</t>
  </si>
  <si>
    <t>Value / Range</t>
  </si>
  <si>
    <t>Classification / Class</t>
  </si>
  <si>
    <t>Agronomic &amp; Soil Physical Impact</t>
  </si>
  <si>
    <t>Immediate Action / Protocol</t>
  </si>
  <si>
    <t>&lt; 7.5</t>
  </si>
  <si>
    <t>Acidic to Neutral</t>
  </si>
  <si>
    <t>Lab 1:5 soil-water extract with digital electrode</t>
  </si>
  <si>
    <t>Optimal chemical and nutrient balance; no salinity/sodicity-related pH stress.</t>
  </si>
  <si>
    <t>Standard crop fertilization and field management; no pH amendments needed.</t>
  </si>
  <si>
    <t>Doneen (1954)</t>
  </si>
  <si>
    <t>7.5 – 8.5</t>
  </si>
  <si>
    <t>Slightly Alkaline (Calcareous)</t>
  </si>
  <si>
    <t>Lab 1:5 soil-water extract or field pH pen</t>
  </si>
  <si>
    <t>Typically buffered by calcium carbonate (CaCO3). Soluble micronutrients may become less available.</t>
  </si>
  <si>
    <t>If sodic (SAR ≥ 13), apply acidifying agents (elemental sulfur/acid) to dissolve calcareous lime and release Ca2+.</t>
  </si>
  <si>
    <t>Richards (1954); Ma et al. (2025)</t>
  </si>
  <si>
    <t>&gt; 8.5</t>
  </si>
  <si>
    <t>Strongly Alkaline (Alkali/Sodic)</t>
  </si>
  <si>
    <t>Lab 1:5 soil-water extract or phenolphthalein test</t>
  </si>
  <si>
    <t>Indicates toxic sodium carbonates (Na2CO3); severe clay dispersion, aggregate collapse, and soil toxicity.</t>
  </si>
  <si>
    <t>Dose agricultural gypsum (CaSO_4), or use sulfur/acid ONLY if native lime (CaCO3 &gt; 1%) is confirmed</t>
  </si>
  <si>
    <t>Richards (1954); Abrol et al. (1988)</t>
  </si>
  <si>
    <t>ASSUMPTIONS &amp; CONSIDERATIONS FOR SOIL pH:
Assumption: A soil pH above 8.5 indicates sodium carbonate (Na2CO3) and a probable sodic soil. The model uses this only as a presumption when CROSS, SAR or ESP is missing; it is not an official classification criterion.
Critical Consideration: Soil pH is a descriptive qualifier; destructive clay dispersion can still occur at lower pH values if soil electrolyte concentration drops.</t>
  </si>
  <si>
    <t>TABLE 3: SOIL SALINITY — SOIL ECe (SATURATED PASTE EXTRACT)</t>
  </si>
  <si>
    <t>Soil ECe</t>
  </si>
  <si>
    <t>0.0 – 2.0 dS/m</t>
  </si>
  <si>
    <t>Non-Saline</t>
  </si>
  <si>
    <t>Saturated soil paste extract conductivity at 25°C</t>
  </si>
  <si>
    <t>Salinity effects are negligible; safe for all common agricultural crops.</t>
  </si>
  <si>
    <t>Standard irrigation practices; maintain good on-farm water management.</t>
  </si>
  <si>
    <t>2.0 – 4.0 dS/m</t>
  </si>
  <si>
    <t>Slightly Saline</t>
  </si>
  <si>
    <t>Yields of highly salt-sensitive crops (e.g. onions, carrots, beans) may be restricted.</t>
  </si>
  <si>
    <t>Incorporate a light Leaching Fraction (LF) into irrigation scheduling to prevent rootzone salt buildup.</t>
  </si>
  <si>
    <t>4.0 – 8.0 dS/m</t>
  </si>
  <si>
    <t>Moderately Saline</t>
  </si>
  <si>
    <t>Yields of many common agricultural crops are restricted due to osmotic stress (physiological drought).</t>
  </si>
  <si>
    <t>Apply active leaching (excess water application) and regular soil ECe monitoring. Select moderately tolerant crop cultivars.</t>
  </si>
  <si>
    <t>8.0 – 16.0 dS/m</t>
  </si>
  <si>
    <t>Strongly Saline</t>
  </si>
  <si>
    <t>Severe osmotic stress; only salt-tolerant crops (e.g. barley, cotton, sugarbeet) can yield satisfactorily.</t>
  </si>
  <si>
    <t>Implement active, intensive leaching and subsurface drainage. Shift to salt-tolerant crop cultivars.</t>
  </si>
  <si>
    <t>Richards (1954); Maas &amp; Hoffman (1977)</t>
  </si>
  <si>
    <t>&gt; 16.0 dS/m</t>
  </si>
  <si>
    <t>Very Strongly Saline</t>
  </si>
  <si>
    <t>Extreme osmotic stress; virtually all regular crop species suffer complete yield collapse or death.</t>
  </si>
  <si>
    <t>Apply heavy freshwater flushing or shift entirely to halophytic forage/crops (e.g., Atriplex, Salicornia).</t>
  </si>
  <si>
    <t>Richards (1954); Van Orshoven et al. (2012)</t>
  </si>
  <si>
    <t>ASSUMPTIONS &amp; CONSIDERATIONS FOR SOIL ECe:
Assumption: Assumes ECe accurately represents rootzone osmotic stress under field moisture conditions.
Critical Consideration: ECe measures non-specific osmotic potential and does not capture specific ion toxicities (chloride Cl-, sodium Na+, boron B). Sensitive woody perennials, fruit trees, and legumes frequently suffer severe foliar necrosis and metabolic collapse at low ECe levels due to ion-specific accumulation. Additionally, actual rootzone soil solution salinity under field capacity is typically 2 to 4 times higher than lab-measured ECe due to dilution in the saturated paste.</t>
  </si>
  <si>
    <t xml:space="preserve"> </t>
  </si>
  <si>
    <t>TABLE 4: SOIL SALINITY — DILUTE EXTRACT (EC1:5 FALLBACK)</t>
  </si>
  <si>
    <t>Soil EC1:5</t>
  </si>
  <si>
    <t>&lt; 0.4 dS/m</t>
  </si>
  <si>
    <t>Low Salinity</t>
  </si>
  <si>
    <t>1:5 soil:water ratio extract conductivity test</t>
  </si>
  <si>
    <t>Minimal osmotic stress; safe for general agricultural production.</t>
  </si>
  <si>
    <t>Standard water management; monitor field salinity seasonally.</t>
  </si>
  <si>
    <t>Dehaan &amp; Taylor (2002)</t>
  </si>
  <si>
    <t>0.4 – 0.8 dS/m</t>
  </si>
  <si>
    <t>Medium Salinity</t>
  </si>
  <si>
    <t>Yields of sensitive crops begin to decline; mild osmotic stress.</t>
  </si>
  <si>
    <t>Increase irrigation depth slightly to initiate salt flushing below tillage layer.</t>
  </si>
  <si>
    <t>0.8 – 1.6 dS/m</t>
  </si>
  <si>
    <t>High Salinity</t>
  </si>
  <si>
    <t>Yields of moderately tolerant crops are restricted; noticeable osmotic drought.</t>
  </si>
  <si>
    <t>Apply leaching and convert EC1:5 to equivalent saturated paste ECe using texture-specific multiplier: ECe approx ftext times EC1:5 (where ftext approx 6.0 for coarse sand, 8.5 for loam/silt, 12.0 for clay loam, and 16.0 for heavy clay). Verify with laboratory saturated paste extract before engineering drainage dimensions.</t>
  </si>
  <si>
    <t>&gt; 1.6 dS/m</t>
  </si>
  <si>
    <t>Excessively High Salinity</t>
  </si>
  <si>
    <t>Severe rootzone salinization; major crop damage or failure.</t>
  </si>
  <si>
    <t>Mandatory intensive flushing and drainage installation; switch to salt-tolerant crops.</t>
  </si>
  <si>
    <t>Dehaan &amp; Taylor (2002); Shirokova et al. (2000)</t>
  </si>
  <si>
    <t>ASSUMPTIONS &amp; CONSIDERATIONS FOR EC1:5:
Assumption: Assumes a linear conversion factor between 1:5 dilute extract conductivity and saturated paste ECe.
Critical Consideration: he conversion factor (f = ECe / EC1:5) depends heavily on soil saturation percentage (SP), varying from ~6 in sands to &gt;15 in heavy clays. Furthermore, in soils containing gypsum or native calcium carbonate, dilute 1:5 extraction overestimates true field salinity due to mineral dissolution at higher dilution ratios.</t>
  </si>
  <si>
    <t>TABLE 5: SODICITY RISK — CROSS (CATION RATIO OF STRUCTURAL STABILITY)</t>
  </si>
  <si>
    <t>CROSS</t>
  </si>
  <si>
    <t>&lt; 13.0 (mmol/L)^0.5</t>
  </si>
  <si>
    <t>Non-Sodic</t>
  </si>
  <si>
    <t>Clay platelets remain stable and flocculated; normal soil structure, pore space, and water infiltration.</t>
  </si>
  <si>
    <t>No chemical amelioration required; focus strictly on physical and hydrological water management.</t>
  </si>
  <si>
    <t>13.0 – 20.0 (mmol/L)^0.5</t>
  </si>
  <si>
    <t>Moderately Sodic</t>
  </si>
  <si>
    <t>Clay swelling and dispersion begin due to Na+ and K+ presence; moderate reduction in soil permeability.</t>
  </si>
  <si>
    <t>Apply agricultural gypsum (CaSO4) to replace dispersive Na+ and K+ with flocculating Ca2+.</t>
  </si>
  <si>
    <t>&gt; 20.0 (mmol/L)^0.5</t>
  </si>
  <si>
    <t>Severely Sodic</t>
  </si>
  <si>
    <t>Complete clay dispersion, aggregate collapse, and pore blockage; impenetrable surface crusting.</t>
  </si>
  <si>
    <t>Mandatory: Apply heavy split doses of Gypsum (CaSO4) BEFORE freshwater leaching to prevent total structural seal.</t>
  </si>
  <si>
    <t>ASSUMPTIONS &amp; CONSIDERATIONS FOR CROSS:
Assumption: Assumes CROSS provides superior prediction of clay dispersion over SAR by incorporating K+ dispersion and Mg2+ vs Ca2+ flocculation power.
Critical Consideration: CROSS requires full cation analysis (ICP/AAS), which increases laboratory testing cost compared to standard SAR titration.</t>
  </si>
  <si>
    <t>TABLE 6: SODICITY RISK — SAR (SODIUM ADSORPTION RATIO)</t>
  </si>
  <si>
    <t>SAR</t>
  </si>
  <si>
    <t>Lab titration/spectrophotometry of Na+, Ca2+, Mg2+ in saturation extract</t>
  </si>
  <si>
    <t>Clay platelets remain stable and flocculated; normal soil structure and water infiltration.</t>
  </si>
  <si>
    <t>No chemical amelioration required; maintain standard physical water management.</t>
  </si>
  <si>
    <t>≥ 13.0 (mmol/L)^0.5</t>
  </si>
  <si>
    <t>Sodic (Alkali)</t>
  </si>
  <si>
    <t>Diffuse double layer expands, causing clay dispersion, aggregate collapse, and surface sealing.</t>
  </si>
  <si>
    <t>Mandatory: Apply Gypsum (CaSO4) BEFORE freshwater leaching to replace exchangeable Na+ with Ca2+.</t>
  </si>
  <si>
    <t>ASSUMPTIONS &amp; CONSIDERATIONS FOR SAR:
Assumption: Assumes clay platelets remain structurally stable if SAR &lt; 13, dispersing only when SAR ≥ 13.
Critical Consideration: In highly weathered soils or under irrigation with very low-salinity water, structural collapse can occur at SAR as low as 6.</t>
  </si>
  <si>
    <t>TABLE 7: SODICITY RISK — ESP (EXCHANGEABLE SODIUM PERCENTAGE)</t>
  </si>
  <si>
    <t>ESP</t>
  </si>
  <si>
    <t>&lt; 15%</t>
  </si>
  <si>
    <t>Lab ammonium acetate extraction for exchangeable cations and CEC</t>
  </si>
  <si>
    <t>Clay platelets remain stable and flocculated; excellent soil structural stability and water infiltration.</t>
  </si>
  <si>
    <t>No chemical amendments required; focus on standard agronomy and salt leaching.</t>
  </si>
  <si>
    <t>15% – 30%</t>
  </si>
  <si>
    <t>Clay swelling and dispersion begin to occur; soil aggregates break down; moderate permeability loss.</t>
  </si>
  <si>
    <t>Apply landbouw gips (CaSO4) to replace adsorbed sodium with calcium. Ensure adequate leaching to flush Na+.</t>
  </si>
  <si>
    <t>&gt; 30%</t>
  </si>
  <si>
    <t>Complete structural collapse; total loss of soil infiltration and water conductivity; toxic sodium levels.</t>
  </si>
  <si>
    <t>Immediate, intensive agricultural gypsum and acid application required. Split doses over multiple seasons.</t>
  </si>
  <si>
    <t>ASSUMPTIONS &amp; CONSIDERATIONS FOR ESP:
Assumption: Assumes ESP is directly correlated with SAR via the empirical USDA relation (ESP ≈ SAR for SAR 2–30).
Critical Consideration: Direct laboratory ESP measurement requires ammonium acetate CEC extraction, which is slow and prone to errors in saline soils.</t>
  </si>
  <si>
    <t>TABLE 8: IRRIGATION WATER SALINITY (ECw)</t>
  </si>
  <si>
    <t>ECw</t>
  </si>
  <si>
    <t>&lt; 0.7 dS/m</t>
  </si>
  <si>
    <t>No Restriction</t>
  </si>
  <si>
    <t>Direct field measurement of water source with EC meter</t>
  </si>
  <si>
    <t>Safe, high-quality water; no osmotic stress on plants and extremely low risk of soil salinization.</t>
  </si>
  <si>
    <t>Standard irrigation scheduling; no leaching adjustments needed.</t>
  </si>
  <si>
    <t>Ayers &amp; Westcot (1985)</t>
  </si>
  <si>
    <t>0.7 – 3.0 dS/m</t>
  </si>
  <si>
    <t>Slight to Moderate Restriction</t>
  </si>
  <si>
    <t>Soluble salts gradually accumulate in active root zone, causing moderate crop water stress over time.</t>
  </si>
  <si>
    <t>Increase irrigation depth using Leaching Fraction (LF = ECw / [5*ECe - ECw]) to flush salts below root zone.</t>
  </si>
  <si>
    <t>Ayers &amp; Westcot (1985); Van Hoorn &amp; Van Alphen (1994)</t>
  </si>
  <si>
    <t>&gt; 3.0 dS/m</t>
  </si>
  <si>
    <t>Severe Restriction</t>
  </si>
  <si>
    <t>Acute osmotic drought, rapid salt accumulation in root zone, and severe leaf foliar burn if sprinkler-applied.</t>
  </si>
  <si>
    <t>Mix with fresh water (Conjunctive Use), restrict to drip irrigation, select tolerant crops, ensure artificial drainage.</t>
  </si>
  <si>
    <t>ASSUMPTIONS &amp; CONSIDERATIONS FOR ECw:
Assumption: Assumes a standard moderate Leaching Fraction (LF) of 15% is continuously maintained under conventional surface irrigation.
Critical Consideration: High-efficiency localized drip systems without dedicated leaching cause rapid salt accumulation at wet bulb edges.</t>
  </si>
  <si>
    <t>TABLE 9: IRRIGATION WATER SALINITY (TDS FALLBACK)</t>
  </si>
  <si>
    <t>TDS</t>
  </si>
  <si>
    <t>&lt; 450 mg/L (ppm)</t>
  </si>
  <si>
    <t>Gravimetric drying of water sample or TDS meter</t>
  </si>
  <si>
    <t>Low dissolved salt concentration; negligible hazard to crops and soil structure.</t>
  </si>
  <si>
    <t>Standard water management practices; no special leaching required.</t>
  </si>
  <si>
    <t>450 – 2000 mg/L</t>
  </si>
  <si>
    <t>Moderate salt load; potential gradual soil salinization depending on soil texture and drainage.</t>
  </si>
  <si>
    <t>Apply moderate leaching fraction and monitor soil ECe. Convert TDS to ECw via TDS ≈ 640 * ECw.</t>
  </si>
  <si>
    <t>&gt; 2000 mg/L</t>
  </si>
  <si>
    <t>High salt load; causes severe osmotic stress and rapid salt buildup in topsoil.</t>
  </si>
  <si>
    <t>Restricted to salt-tolerant crops; requires conjunctive water blending or high leaching fractions.</t>
  </si>
  <si>
    <t>Doneen (1954); Van Straten et al. (2019)</t>
  </si>
  <si>
    <t>ASSUMPTIONS &amp; CONSIDERATIONS FOR TDS:
Assumption: Assumes a constant empirical conversion factor (TDS ≈ 640 * ECw) for converting solute mass to electrical conductivity.
Critical Consideration: Conversion factor varies between 550 and 900 depending on dominant chemical ions (sulfates vs chlorides).</t>
  </si>
  <si>
    <t>TABLE 10: GROUNDWATER DEPTH (WATER TABLE / GWS)</t>
  </si>
  <si>
    <t>Water Table Depth</t>
  </si>
  <si>
    <t>Safe Depth</t>
  </si>
  <si>
    <t>Regular measurement in field observation wells or piezometers</t>
  </si>
  <si>
    <t>Groundwater table stands below critical capillary zone; no risk of capillary salt transport into root zone.</t>
  </si>
  <si>
    <t>Maintain current natural or artificial drainage. Monitor water table levels seasonally.</t>
  </si>
  <si>
    <t>Ritzema (1994); Wang et al. (2022)</t>
  </si>
  <si>
    <t>1.5 – 2.0 m</t>
  </si>
  <si>
    <t>Moderate Risk</t>
  </si>
  <si>
    <t>Capillary rise begins to reach subsoil during dry periods, slowly carrying dissolved salts upward.</t>
  </si>
  <si>
    <t>Monitor shallow piezometers closely. Plan subsoil drainage spacing design to prepare for potential water table rise.</t>
  </si>
  <si>
    <t>&lt; 1.5 m</t>
  </si>
  <si>
    <t>Critical (Waterlogged)</t>
  </si>
  <si>
    <t>Severe waterlogging; rapid capillary rise and evaporation form heavy surface salt crusts within days.</t>
  </si>
  <si>
    <t>Mandatory: Install Subsurface Pipe Drainage (SPD) or deep open ditches to lower and control water table.</t>
  </si>
  <si>
    <t>ASSUMPTIONS &amp; CONSIDERATIONS FOR WATER TABLE DEPTH:
Assumption: Assumes a groundwater table deeper than 2.0 m is completely safe from capillary salinization.
Critical Consideration: Critical depth depends on soil texture; in fine silts and silty clays, capillary forces pull water upward from 2.5 to 3.0 m.</t>
  </si>
  <si>
    <t>TABLE 11: GROUNDWATER SALINITY (ECgw)</t>
  </si>
  <si>
    <t>ECgw</t>
  </si>
  <si>
    <t>&lt; 1.5 dS/m</t>
  </si>
  <si>
    <t>Fresh / Low Risk</t>
  </si>
  <si>
    <t>Direct conductivity measurement of groundwater sample</t>
  </si>
  <si>
    <t>Low salt content in shallow groundwater; capillary rise poses minimal salinization risk.</t>
  </si>
  <si>
    <t>Standard groundwater monitoring; safe for sub-irrigation if water table is controlled.</t>
  </si>
  <si>
    <t>Bhutta &amp; Smedema (2007)</t>
  </si>
  <si>
    <t>1.5 – 5.0 dS/m</t>
  </si>
  <si>
    <t>Brackish / Moderate Risk</t>
  </si>
  <si>
    <t>Moderate salt content; capillary rise will deposit substantial salts in rootzone if water table &lt; 1.5 m.</t>
  </si>
  <si>
    <t>Control water table depth below 1.5 m via tile drainage; apply periodic leaching irrigation.</t>
  </si>
  <si>
    <t>&gt; 5.0 dS/m</t>
  </si>
  <si>
    <t>Highly Saline / Severe Risk</t>
  </si>
  <si>
    <t>Extreme salt content; capillary rise causes severe secondary salinization and total crop failure.</t>
  </si>
  <si>
    <t>Mandatory water table drawdown below critical depth (&gt; 2.0 m) using subsurface drainage.</t>
  </si>
  <si>
    <t>Bhutta &amp; Smedema (2007); Liu et al. (2026)</t>
  </si>
  <si>
    <t>ASSUMPTIONS &amp; CONSIDERATIONS FOR GROUNDWATER SALINITY:
Assumption: Assumes groundwater salinity remains static across seasons during water table fluctuations.
Critical Consideration: Groundwater salinity exhibits strong seasonal dynamics due to monsoon recharge, irrigation deep percolation, and evaporation.</t>
  </si>
  <si>
    <t>TABLE 12: HYDRAULIC CONDUCTIVITY (K-VALUE)</t>
  </si>
  <si>
    <t>K-value</t>
  </si>
  <si>
    <t>&gt; 2.0 m/day</t>
  </si>
  <si>
    <t>Rapid to Very Rapid</t>
  </si>
  <si>
    <t>In-situ auger-hole method below water table or infiltrometer</t>
  </si>
  <si>
    <t>Water moves very rapidly through soil; high leaching capacity; waterlogging risk is negligible.</t>
  </si>
  <si>
    <t>No drainage spacing restriction. Highly suitable for rapid flushing. Apply small, frequent irrigation gifts.</t>
  </si>
  <si>
    <t>Ritzema (1994)</t>
  </si>
  <si>
    <t>0.5 – 2.0 m/day</t>
  </si>
  <si>
    <t>Moderate</t>
  </si>
  <si>
    <t>Standard horizontal and vertical water movement; optimal for agricultural drainage and plant growth.</t>
  </si>
  <si>
    <t>Standard subsurface pipe drainage design; standard spacing formulas (Hooghoudt) apply.</t>
  </si>
  <si>
    <t>0.1 – 0.5 m/day</t>
  </si>
  <si>
    <t>Moderately Slow</t>
  </si>
  <si>
    <t>Downward water movement is restricted; high risk of perched water tables and temporary waterlogging.</t>
  </si>
  <si>
    <t>Requires narrower drain pipe spacing (closer pipes) to be effective. Incorporate deep-rooting cover crops.</t>
  </si>
  <si>
    <t>Ritzema (1994); Liu et al. (2025)</t>
  </si>
  <si>
    <t>&lt; 0.1 m/day</t>
  </si>
  <si>
    <t>Slow to Very Slow</t>
  </si>
  <si>
    <t>Water stagnates; extremely high waterlogging risk. Reclamation leaching becomes extremely slow and difficult.</t>
  </si>
  <si>
    <t>Requires very close drain spacing, mole drainage, or deep mechanical ripping combined with gypsum.</t>
  </si>
  <si>
    <t>Ritzema (1994); Abrol et al. (1988)</t>
  </si>
  <si>
    <t>ASSUMPTIONS &amp; CONSIDERATIONS FOR K-VALUE:
Assumption: Assumes soil profile is homogeneous and isotropic, allowing water movement calculations via steady-state drainage equations (Hooghoudt).
Critical Consideration: In-situ K-values naturally vary by orders of magnitude across a field; requires dense grid sampling for reliable pipe spacing design.</t>
  </si>
  <si>
    <t>TABLE 13: SOIL TEXTURE &amp; LAYERING</t>
  </si>
  <si>
    <t>Soil Texture</t>
  </si>
  <si>
    <t>Coarse (Sand, Loamy Sand)</t>
  </si>
  <si>
    <t>High Permeability</t>
  </si>
  <si>
    <t>Laboratory sieve and hydrometer/pipette analysis</t>
  </si>
  <si>
    <t>Rapid water infiltration; low water and nutrient holding capacity; very low hazard of sodic structural decay.</t>
  </si>
  <si>
    <t>Apply high leaching efficiency (rapid flushing). Require frequent, small water applications (drip) to avoid deep percolation.</t>
  </si>
  <si>
    <t>Medium (Loam, Silt Loam, Sandy Loam)</t>
  </si>
  <si>
    <t>Optimal Balance</t>
  </si>
  <si>
    <t>Balanced water retention and infiltration. Optimal physical environment for root development and salt leaching.</t>
  </si>
  <si>
    <t>Use standard leaching calculations and schedules. Maintain regenerative farming to protect aggregate structure.</t>
  </si>
  <si>
    <t>Fine (Clay, Silty Clay, Clay Loam)</t>
  </si>
  <si>
    <t>Low Permeability</t>
  </si>
  <si>
    <t>Extremely slow infiltration; highly prone to soil compaction, crusting, and waterlogging. High risk of sodic swelling.</t>
  </si>
  <si>
    <t>Requires careful leaching rates to avoid ponding. Apply structural organic amendments and gypsum to promote aggregation.</t>
  </si>
  <si>
    <t>Stratified (Clay pans / Plow pans)</t>
  </si>
  <si>
    <t>Physical Barrier</t>
  </si>
  <si>
    <t>Field soil auger profile logging and horizon description</t>
  </si>
  <si>
    <t>Blocks downward water percolation; creates perched water tables; traps salts in upper root zone.</t>
  </si>
  <si>
    <t>Perform periodic subsoiling (deep mechanical ripping) to physically break hardpan layer and restore drainage connectivity.</t>
  </si>
  <si>
    <t>ASSUMPTIONS &amp; CONSIDERATIONS FOR SOIL TEXTURE:
Assumption: Assumes water, air, and salt transport are uniform throughout the root zone based on dominant soil texture class.
Critical Consideration: Abrupt vertical stratifications (such as clay pans, hardpans, or plow pans) act as physical flow barriers, halting vertical drainage.</t>
  </si>
  <si>
    <t>TABLE 14: MICRO-TOPOGRAPHY &amp; SLOPE</t>
  </si>
  <si>
    <t>Micro-topography</t>
  </si>
  <si>
    <t>Flat (&lt; 0.1% slope) with depressions</t>
  </si>
  <si>
    <t>Uneven Surface</t>
  </si>
  <si>
    <t>RTK-GPS topographic survey or optical leveling</t>
  </si>
  <si>
    <t>Water pools in low spots, causing local waterlogging, while high spots remain dry and experience intense capillary salinization.</t>
  </si>
  <si>
    <t>Perform Laser Land Leveling (LLL) to achieve a uniform micro-flat surface, ensuring uniform water and salt leaching.</t>
  </si>
  <si>
    <t>Savva &amp; Frenken (2002)</t>
  </si>
  <si>
    <t>Gentle Slope (0.1% – 1.0%)</t>
  </si>
  <si>
    <t>Optimal Surface Drainage</t>
  </si>
  <si>
    <t>Water flows slowly and evenly without causing soil erosion, promoting uniform water infiltration.</t>
  </si>
  <si>
    <t>Highly suitable for furrow, strip, or basin surface irrigation; standard field management.</t>
  </si>
  <si>
    <t>Moderate to Steep (&gt; 1.0%)</t>
  </si>
  <si>
    <t>Erosion Hazard / Restricted Surface</t>
  </si>
  <si>
    <t>High water runoff velocity; causes severe soil erosion; low infiltration time prevents effective salt leaching.</t>
  </si>
  <si>
    <t>Shift completely to pressurized irrigation (drip or micro-sprinkler) or implement contour terracing.</t>
  </si>
  <si>
    <t>ASSUMPTIONS &amp; CONSIDERATIONS FOR TOPOGRAPHY:
Assumption: Assumes fields with slopes exceeding 1.0% are highly restrictive due to severe runoff and erosion risks during surface flood irrigation.
Critical Consideration: Terrain slope limitation disappears under pressurized irrigation (drip or sprinkler), which applies water below infiltration capacity.</t>
  </si>
  <si>
    <t>TABLE 15: CATION EXCHANGE CAPACITY (CEC)</t>
  </si>
  <si>
    <t>CEC</t>
  </si>
  <si>
    <t>&lt; 10 meq/100g (cmol/kg)</t>
  </si>
  <si>
    <t>Low Buffer Capacity</t>
  </si>
  <si>
    <t>Lab ammonium acetate distillation at pH 7.0</t>
  </si>
  <si>
    <t>Typical for coarse sandy soils; low ability to adsorb cations; very easy to reclaim but poor nutrient holding capacity.</t>
  </si>
  <si>
    <t>Low total gypsum requirement (tons/ha) even if ESP is high, but requires frequent organic matter additions to hold nutrients.</t>
  </si>
  <si>
    <t>10 – 20 meq/100g (cmol/kg)</t>
  </si>
  <si>
    <t>Medium Buffer Capacity</t>
  </si>
  <si>
    <t>Typical for medium loam and silt loam soils; balanced chemical buffering and nutrient retention.</t>
  </si>
  <si>
    <t>Standard gypsum requirement calculations apply. Split doses are generally unnecessary.</t>
  </si>
  <si>
    <t>&gt; 20 meq/100g (cmol/kg)</t>
  </si>
  <si>
    <t>High Buffer Capacity</t>
  </si>
  <si>
    <t>Typical for fine clay soils; extremely high capacity to hold exchangeable sodium, making them highly resistant to reclamation.</t>
  </si>
  <si>
    <t>High gypsum requirement (tons/ha). Requires split gypsum applications (e.g. 5–10 t/ha per season) with extensive leaching.</t>
  </si>
  <si>
    <t>ASSUMPTIONS &amp; CONSIDERATIONS FOR CEC:
Assumption: Assumes CEC is a static chemical buffering capacity that dictates the exact calcium dose required to displace exchangeable sodium.
Critical Consideration: Standard laboratory CEC measurements in saline-sodic soils are prone to errors due to interference of soluble salts and native carbonates.</t>
  </si>
  <si>
    <t>TABLE 16: SOIL BULK DENSITY (ρb)</t>
  </si>
  <si>
    <t>Bulk Density</t>
  </si>
  <si>
    <t>&lt; 1.4 g/cm³</t>
  </si>
  <si>
    <t>Healthy / Uncompacted</t>
  </si>
  <si>
    <t>Undisturbed soil core ring sampling (dried at 105°C and weighed)</t>
  </si>
  <si>
    <t>Excellent soil pore space, aeration, and root penetration; normal water infiltration and drainage.</t>
  </si>
  <si>
    <t>Maintain soil organic matter and avoid heavy machinery traffic when soil is wet. No mechanical remediation needed.</t>
  </si>
  <si>
    <t>1.4 – 1.6 g/cm³</t>
  </si>
  <si>
    <t>Moderately Compacted</t>
  </si>
  <si>
    <t>Restricted pore space; slower infiltration rates and moderately impaired root development.</t>
  </si>
  <si>
    <t>Incorporate deep-rooting cover crops, apply organic compost, and restrict tillage to restore soil porosity.</t>
  </si>
  <si>
    <t>&gt; 1.6 g/cm³</t>
  </si>
  <si>
    <t>Severely Compacted / Dispersed</t>
  </si>
  <si>
    <t>Extremely slow water permeability; soil air is restricted, leading to anaerobic root stress. Severely impedes roots.</t>
  </si>
  <si>
    <t>Requires mechanical subsoiling (ripping) to loosen structure, combined with gypsum to stabilize soil pores.</t>
  </si>
  <si>
    <t>Richards (1954); Tian et al. (2024)</t>
  </si>
  <si>
    <t>ASSUMPTIONS &amp; CONSIDERATIONS FOR BULK DENSITY:
Assumption: Assumes bulk density is uniform across the entire reclamation depth when converting chemical requirements (meq/100g) into practical field doses (tons/ha).
Critical Consideration: Thresholds for compaction are strictly texture-dependent: root growth and percolation are severely inhibited at pb &gt; 1.40 g/cm^3 in clay soils, whereas sandy soils maintain adequate macroporosity up to 1.65 g/cm^3. Direct evaluation requires cross-referencing with Soil Texture.</t>
  </si>
  <si>
    <t>TABLE 17: NATIVE LIME (CaCO3 EQUIVALENT)</t>
  </si>
  <si>
    <t>Native Lime</t>
  </si>
  <si>
    <t>&lt; 1.0%</t>
  </si>
  <si>
    <t>Non-Calcareous</t>
  </si>
  <si>
    <t>Lab Scheibler calcimeter (gas volume release) or acid neutralization</t>
  </si>
  <si>
    <t>Soil lacks natural calcium carbonate reserves. Applying acidifying agents (sulfur) will severely lower pH without releasing Ca2+.</t>
  </si>
  <si>
    <t>Acidifying amendments (sulfur/acid) are strictly prohibited. You MUST apply agricultural gypsum (CaSO4) as calcium source.</t>
  </si>
  <si>
    <t>1.0% – 5.0%</t>
  </si>
  <si>
    <t>Moderately Calcareous</t>
  </si>
  <si>
    <t>Insoluble calcium carbonate is present. Soil has moderate calcium reserves that can be mobilized chemically.</t>
  </si>
  <si>
    <t>Applying acidifying agents (sulfur/sulfuric acid) is highly effective as it dissolves native CaCO3 to release Ca2+ in-situ.</t>
  </si>
  <si>
    <t>&gt; 5.0%</t>
  </si>
  <si>
    <t>Highly Calcareous</t>
  </si>
  <si>
    <t>Abundant insoluble calcium carbonate reserves; high alkaline buffering capacity; highly responsive to acidification.</t>
  </si>
  <si>
    <t>Highly suitable for acidification. Acidifying agents (sulfur/acid) or compost can easily mobilize native calcium to displace sodium.</t>
  </si>
  <si>
    <t>ASSUMPTIONS &amp; CONSIDERATIONS FOR NATIVE LIME:
Assumption: Assumes soils with &gt;1% native lime contain enough calcium to be successfully reclaimed using acidifying agents (like elemental sulfur) instead of gypsum.
Critical Consideration: Native lime must be present in a highly reactive, finely divided form; coarse, crystalline limestone fragments react far too slowly.</t>
  </si>
  <si>
    <t>TABLE 18: RESIDUAL SODIUM CARBONATE (RSC)</t>
  </si>
  <si>
    <t>RSC</t>
  </si>
  <si>
    <t>&lt; 1.25 meq/L</t>
  </si>
  <si>
    <t>Safe Quality</t>
  </si>
  <si>
    <t>Lab titration of carbonates and bicarbonates in water</t>
  </si>
  <si>
    <t>Low risk of carbonate precipitation; calcium and magnesium remain soluble in irrigation water.</t>
  </si>
  <si>
    <t>Safe for long-term on-farm irrigation. Standard water management.</t>
  </si>
  <si>
    <t>1.25 – 2.50 meq/L</t>
  </si>
  <si>
    <t>Marginal Quality</t>
  </si>
  <si>
    <t>Moderate risk of Ca and Mg precipitating as insoluble lime (CaCO3), raising effective SAR of soil solution.</t>
  </si>
  <si>
    <t>Monitor soil SAR/ESP closely. Apply agricultural gypsum to soil or treat water with gypsum to neutralize bicarbonates.</t>
  </si>
  <si>
    <t>&gt; 2.50 meq/L</t>
  </si>
  <si>
    <t>Unsuitable Quality</t>
  </si>
  <si>
    <t>High risk of Ca and Mg precipitation; causes rapid secondary sodification and soil structural collapse.</t>
  </si>
  <si>
    <t>Mandatory: Treat irrigation water with sulfur burner or dose gypsum to neutralize bicarbonate/carbonate alkalinity.</t>
  </si>
  <si>
    <t>ASSUMPTIONS &amp; CONSIDERATIONS FOR RSC:
Assumption: Assumes carbonates and bicarbonates in irrigation water completely precipitate soluble calcium and magnesium as insoluble lime.
Critical Consideration: Actual precipitation in soil is highly dynamic and depends on soil temperature, moisture fluctuation, and rootzone CO2 partial pressure.</t>
  </si>
  <si>
    <t>TABLE 19: SOIL ORGANIC MATTER (SOM)</t>
  </si>
  <si>
    <t>SOM</t>
  </si>
  <si>
    <t>Very Low</t>
  </si>
  <si>
    <t>Lab Walkley-Black wet oxidation or Loss on Ignition (LOI 550°C)</t>
  </si>
  <si>
    <t>Extremely weak soil aggregate stability; soil is highly vulnerable to compaction, crusting, and sodium-induced clay dispersion.</t>
  </si>
  <si>
    <t>Critical priority: Apply organic matter (compost, green manure, crop residues) to establish biological binding agents and improve structure.</t>
  </si>
  <si>
    <t>1.0% – 2.0%</t>
  </si>
  <si>
    <t>Low to Moderate</t>
  </si>
  <si>
    <t>Moderate aggregate stability; standard condition for arid and semi-arid mineral soils.</t>
  </si>
  <si>
    <t>Incorporate cover crops, apply mulching, and maintain crop residues to protect and gradually build organic carbon levels.</t>
  </si>
  <si>
    <t>Abrol et al. (1988)</t>
  </si>
  <si>
    <t>&gt; 2.0%</t>
  </si>
  <si>
    <t>Adequate</t>
  </si>
  <si>
    <t>Strong soil structure and aggregate stability; high biological activity buffers clay minerals against sodium dispersion.</t>
  </si>
  <si>
    <t>Maintain regenerative, low-till or no-till practices. Focus on maintaining excellent organic carbon balance.</t>
  </si>
  <si>
    <t>ASSUMPTIONS &amp; CONSIDERATIONS FOR SOM:
Assumption: Assumes a target of &gt;2% SOM is stable and biologically attainable to maintain soil aggregation against sodium-induced dispersion.
Critical Consideration: In hot, arid climates, extremely high mineralization rates make sustaining SOM &gt;2% practically impossible without continuous organic additions.</t>
  </si>
  <si>
    <t>TABLE 20: CROP SALT TOLERANCE THRESHOLD (ECt)</t>
  </si>
  <si>
    <t>Crop Tolerance (ECt)</t>
  </si>
  <si>
    <t>Sensitive</t>
  </si>
  <si>
    <t>FAO / Maas-Hoffman crop reference tables lookup</t>
  </si>
  <si>
    <t>Yields decrease rapidly even at very low soil salinity levels (e.g. strawberries, beans, carrots).</t>
  </si>
  <si>
    <t>Cultivate only on non-saline soils (ECe &lt; 2.0). Require high freshwater leaching fraction if irrigation water is slightly saline.</t>
  </si>
  <si>
    <t>1.5 – 3.0 dS/m</t>
  </si>
  <si>
    <t>Moderately Sensitive</t>
  </si>
  <si>
    <t>Yield reduction begins under slight salinity (e.g. maize, alfalfa, tomatoes).</t>
  </si>
  <si>
    <t>Require moderate Leaching Fraction (LF). Monitor soil salinity seasonally to ensure root zone ECe remains below threshold.</t>
  </si>
  <si>
    <t>Maas &amp; Hoffman (1977)</t>
  </si>
  <si>
    <t>3.0 – 6.0 dS/m</t>
  </si>
  <si>
    <t>Moderately Tolerant</t>
  </si>
  <si>
    <t>Can withstand moderate soil salinity levels without significant yield losses (e.g. wheat, soybeans).</t>
  </si>
  <si>
    <t>Highly suitable for moderately saline fields. Standard water management and leaching schedule apply.</t>
  </si>
  <si>
    <t>6.0 – 10.0 dS/m</t>
  </si>
  <si>
    <t>Tolerant</t>
  </si>
  <si>
    <t>Can withstand high soil salinity levels with acceptable yield performance (e.g. barley, cotton, sugarbeet).</t>
  </si>
  <si>
    <t>Ideal for saline agriculture; can be successfully irrigated with low-to-medium brackish water sources.</t>
  </si>
  <si>
    <t>&gt; 10.0 dS/m</t>
  </si>
  <si>
    <t>Halophytic</t>
  </si>
  <si>
    <t>Extreme salt tolerance; can survive and thrive in highly saline environments or under brackish/seawater irrigation.</t>
  </si>
  <si>
    <t>Select for extreme biosaline farming (e.g., Atriplex, Salicornia) as livestock forage or specialty crops in heavily salinized zones.</t>
  </si>
  <si>
    <t>Maas &amp; Hoffman (1977); De Vos et al. (2016)</t>
  </si>
  <si>
    <t>ASSUMPTIONS &amp; CONSIDERATIONS FOR CROP ECt:
Assumption: Assumes crop yield declines linearly above a static salinity threshold (ECt) under uniform rootzone salinity.
Critical Consideration: Maas-Hoffman model does not account for sensitive growth stages (germination/seedling) or specific ion toxicities (boron, chloride).</t>
  </si>
  <si>
    <t>TABLE 21: SOCIO-ECONOMIC &amp; AVAILABLE BUDGET</t>
  </si>
  <si>
    <t>Farm Budget</t>
  </si>
  <si>
    <t>&lt; €100 / ha</t>
  </si>
  <si>
    <t>Low Budget</t>
  </si>
  <si>
    <t>Farm economic survey, CapEx/OpEx audit, structured interviews</t>
  </si>
  <si>
    <t>Capital-intensive engineering (subsurface pipe drainage) and bulk gypsum imports are financially impossible.</t>
  </si>
  <si>
    <t>Remediation is strictly restricted to low-cost agronomic and biological measures: phytoremediation, organic mulching, and crop shift.</t>
  </si>
  <si>
    <t>€100 – €500 / ha</t>
  </si>
  <si>
    <t>Medium Budget</t>
  </si>
  <si>
    <t>Moderate financial capacity. Semi-intensive, targeted interventions are feasible.</t>
  </si>
  <si>
    <t>Possibility to apply a combined focus: targeted, local chemical soil amendments (split gypsum/sulfur) paired with compost and land leveling.</t>
  </si>
  <si>
    <t>&gt; €500 / ha</t>
  </si>
  <si>
    <t>High Budget</t>
  </si>
  <si>
    <t>High financial capacity. Large-scale, intensive engineering and land reclamation can be deployed.</t>
  </si>
  <si>
    <t>Possibility to deploy full mechanical and hydrological reclamation: install Subsurface Pipe Drainage (SPD) and perform Laser Land Leveling (LLL) if required.</t>
  </si>
  <si>
    <t>ASSUMPTIONS &amp; CONSIDERATIONS FOR BUDGET:
Assumption: Assumes available budget is the sole operational constraint determining whether a project deploys expensive engineering drainage or low-cost agronomic alternatives.
Critical Consideration: Financial constraints must be balanced against physical realities; low-cost agronomic solutions fail if soil has zero permeability or no drainage outlet.</t>
  </si>
  <si>
    <t>TABLE 22: INFILTRATION RISK — ECw vs. CROSS/SAR (FAO 29)</t>
  </si>
  <si>
    <t>Infiltration (ECw vs. CROSS/SAR)</t>
  </si>
  <si>
    <t>CROSS/SAR: ECw (dS/m)
0 – 3: &gt; 0.7
3 – 6: &gt; 1.2
6 – 12: &gt; 1.9
12 – 20: &gt; 2.9
20 – 40: &gt; 5.0</t>
  </si>
  <si>
    <t>ECw: field EC meter on the irrigation source. CROSS/SAR: lab saturation extract (Section A).</t>
  </si>
  <si>
    <t>Enough electrolytes in the water to keep the clay flocculated; normal infiltration and permeability.</t>
  </si>
  <si>
    <t>No infiltration measure needed; manage salinity and sodicity on their own merits.</t>
  </si>
  <si>
    <t>Ayers &amp; Westcot (1985), FAO Irrigation and Drainage Paper 29, Table 1</t>
  </si>
  <si>
    <t>CROSS/SAR: ECw (dS/m)
0 – 3: 0.2 – 0.7
3 – 6: 0.3 – 1.2
6 – 12: 0.5 – 1.9
12 – 20: 1.3 – 2.9
20 – 40: 2.9 – 5.0</t>
  </si>
  <si>
    <t>Too few electrolytes for the sodicity level: surface crusting and slower permeability.</t>
  </si>
  <si>
    <t>Consider gypsum or acid dosing of the irrigation water.</t>
  </si>
  <si>
    <t>CROSS/SAR: ECw (dS/m)
0 – 3: &lt; 0.2
3 – 6: &lt; 0.3
6 – 12: &lt; 0.5
12 – 20: &lt; 1.3
20 – 40: &lt; 2.9</t>
  </si>
  <si>
    <t>The water cannot keep the clay flocculated: surface crusting and permeability collapse are likely.</t>
  </si>
  <si>
    <t>Dose gypsum into the water or onto the soil surface.</t>
  </si>
  <si>
    <t>ASSUMPTIONS &amp; CONSIDERATIONS FOR INFILTRATION RISK:
Assumption: FAO 29 rates the SAR of the irrigation water together with ECw. The model uses the soil CROSS/SAR as a proxy for it and treats CROSS as equal to SAR; values above 40 are read as the 20 – 40 band.
Critical Consideration: The risk rises as the water gets fresher at the same SAR. Example: CROSS/SAR 25 with ECw 3.5 dS/m falls in the 2.9 – 5.0 dS/m band of SAR 20 – 40, so the restriction is slight to moderate.</t>
  </si>
  <si>
    <t>GLOBAL SALINIZATION MANAGEMENT MEASURES FRAMEWORK</t>
  </si>
  <si>
    <t>Comprehensive taxonomy of prevention, mitigation, remediation, and adaptation measures backed by scientific literature</t>
  </si>
  <si>
    <t>Measure Name</t>
  </si>
  <si>
    <t>🎯 Strategic Goal</t>
  </si>
  <si>
    <t>💰 Budget Class</t>
  </si>
  <si>
    <t>📍 Spatial Scale</t>
  </si>
  <si>
    <t>⏳ Time Horizon</t>
  </si>
  <si>
    <t>🏷️ Applicable Soil/Water Condition</t>
  </si>
  <si>
    <t>⚠️ Effluent &amp; Env. Risk</t>
  </si>
  <si>
    <t>⚙️ Operational Complexity</t>
  </si>
  <si>
    <t>What It Is (Description)</t>
  </si>
  <si>
    <t>How It Works (Mechanism)</t>
  </si>
  <si>
    <t>What It Does (Impact &amp; Outcome)</t>
  </si>
  <si>
    <t>💵 Quantitative Cost Estimate (€ / $ per ha or unit)</t>
  </si>
  <si>
    <t>📚 Scientific References &amp; Literature Sources</t>
  </si>
  <si>
    <t>🚦 Dynamic Suitability / Potential Measure Status</t>
  </si>
  <si>
    <t>✅ Select Measure? (User Dropdown)</t>
  </si>
  <si>
    <t>🏗️ Physical &amp; Hydrological Engineering</t>
  </si>
  <si>
    <t>Subsurface Pipe Drainage (SPD)</t>
  </si>
  <si>
    <t>Mitigation / Remediation</t>
  </si>
  <si>
    <t>High budget</t>
  </si>
  <si>
    <t>Farm level</t>
  </si>
  <si>
    <t>Long term</t>
  </si>
  <si>
    <t>Saline Soil / Shallow Water Table</t>
  </si>
  <si>
    <t>High (saline discharge)</t>
  </si>
  <si>
    <t>Medium</t>
  </si>
  <si>
    <t>Installed network of corrugated perforated plastic pipes (1.0–1.8 m depth, 15–50 m spacing).</t>
  </si>
  <si>
    <t>Intercepts rising groundwater and flushes saline soil water to collectors via hydraulic gradient.</t>
  </si>
  <si>
    <t>Lowers soil ECe below crop thresholds, prevents waterlogging, enables active root zone leaching.</t>
  </si>
  <si>
    <t>~$1,000 – $3,500 / ha (capital install; varies by pipe spacing &amp; envelope material)</t>
  </si>
  <si>
    <t>Ritzema et al. (2023); Singh (2019, 2021); Han et al. (2023); SWAT-Salt China Study (2025)</t>
  </si>
  <si>
    <t>Not Selected</t>
  </si>
  <si>
    <t>Open Ditch Drainage</t>
  </si>
  <si>
    <t>Medium budget</t>
  </si>
  <si>
    <t>Waterlogged / Shallow Water Table</t>
  </si>
  <si>
    <t>Medium-High (saline runoff)</t>
  </si>
  <si>
    <t>High</t>
  </si>
  <si>
    <t>Open channels and collection ditches surrounding or intersecting agricultural fields.</t>
  </si>
  <si>
    <t>Collects excess surface runoff and shallow groundwater seepage by natural gravity flow.</t>
  </si>
  <si>
    <t>Regulates water table depth and evacuates leachates; lower initial cost than pipe drainage but costs 5–15% arable land and needs frequent dredging.</t>
  </si>
  <si>
    <t>~$400 – $1,200 / ha (excavation + land loss cost)</t>
  </si>
  <si>
    <t>Tanji &amp; Kielen (2002); Singh (2019); Dandekar &amp; Chougule (2010)</t>
  </si>
  <si>
    <t>Vertical Drainage / Tubewells</t>
  </si>
  <si>
    <t>Regional / National level</t>
  </si>
  <si>
    <t>Deep Permeable Aquifers / Waterlogging</t>
  </si>
  <si>
    <t>Very High (large saline volume)</t>
  </si>
  <si>
    <t>Deep groundwater pumping wells equipped with high-capacity electric/diesel pumps.</t>
  </si>
  <si>
    <t>Pumps deep saline or brackish groundwater continuously to depress the regional hydraulic head.</t>
  </si>
  <si>
    <t>Suppresses capillary rise over large regional areas (e.g. SCARP projects). Requires permeable deep aquifers and high ongoing energy costs.</t>
  </si>
  <si>
    <t>~$15,000 – $40,000 per well station (~$500–$1,200/ha cap. + $150–$300/ha/yr energy)</t>
  </si>
  <si>
    <t>Qadir et al. (2014); Pakistan SCARP Review Reports; Singh (2021)</t>
  </si>
  <si>
    <t>Canal Lining</t>
  </si>
  <si>
    <t>Prevention</t>
  </si>
  <si>
    <t>Secondary Salinization via Seepage</t>
  </si>
  <si>
    <t>Low (prevents seepage)</t>
  </si>
  <si>
    <t>Low-Medium</t>
  </si>
  <si>
    <t>Sealing unlined earthen irrigation canals with concrete, geomembranes, or compacted clay.</t>
  </si>
  <si>
    <t>Eliminates water seepage through canal beds and banks into adjacent unconfined aquifers.</t>
  </si>
  <si>
    <t>Stops canal seepage—the primary driver of rising regional water tables and secondary salinization in dryland irrigation schemes.</t>
  </si>
  <si>
    <t>~$15 – $45 / m² lined area (~$2,000–$8,000 / km canal length depending on cross-section)</t>
  </si>
  <si>
    <t>Wichelns (1999); Tanji &amp; Kielen (2002); Singh (2021)</t>
  </si>
  <si>
    <t>Deep Ripping / DVRT (Deep Vertical Rotary Tillage)</t>
  </si>
  <si>
    <t>Low budget</t>
  </si>
  <si>
    <t>Short term</t>
  </si>
  <si>
    <t>Soil Hardpan / Dense Compaction</t>
  </si>
  <si>
    <t>Low (in-situ structural)</t>
  </si>
  <si>
    <t>Low</t>
  </si>
  <si>
    <t>Subsoiling operation using deep rigid tines or rotary subsoilers (40–60 cm depth) without topsoil inversion.</t>
  </si>
  <si>
    <t>Mechanically shatters dense subsoil hardpans and plough pans beneath the topsoil layer.</t>
  </si>
  <si>
    <t>Restores vertical hydraulic conductivity, breaks capillary rise pathways, and facilitates downward salt leaching.</t>
  </si>
  <si>
    <t>~$80 – $250 / ha per treatment (machinery, fuel, operator)</t>
  </si>
  <si>
    <t>Chen et al. (2021); Agric. Water Manag. (2025); Stavi et al. (2021)</t>
  </si>
  <si>
    <t>Precision Land Leveling (Laser Grading)</t>
  </si>
  <si>
    <t>Prevention / Mitigation</t>
  </si>
  <si>
    <t>Surface Irrigated Fields (Uneven)</t>
  </si>
  <si>
    <t>Low (enhances efficiency)</t>
  </si>
  <si>
    <t>High-precision field grading using GPS or laser-guided earthmoving equipment.</t>
  </si>
  <si>
    <t>Ensures uniform distribution and infiltration of applied irrigation or rainfall water across the field.</t>
  </si>
  <si>
    <t>Eliminates waterlogged low spots and prevents dry high spots where intense evaporation causes salt 'hotspots'.</t>
  </si>
  <si>
    <t>~$120 – $350 / ha (performed every 3–5 years)</t>
  </si>
  <si>
    <t>Ashraf &amp; Saeed (2006); Panagea et al. (2016); Singh (2021)</t>
  </si>
  <si>
    <t>Forced Leaching Regime</t>
  </si>
  <si>
    <t>Remediation</t>
  </si>
  <si>
    <t>Low to Medium budget</t>
  </si>
  <si>
    <t>Saline Soil (ECe &gt; 4 dS/m)</t>
  </si>
  <si>
    <t>Medium-High (flushes salts downstream)</t>
  </si>
  <si>
    <t>Applying excess high-quality fresh water (leaching fraction: 150–450 mm) during off-season or winter.</t>
  </si>
  <si>
    <t>Dissolves accumulated soluble salts in the topsoil and flushes them downward below the active root zone into drains.</t>
  </si>
  <si>
    <t>Rapidly reduces root zone ECe below crop toxicity thresholds; requires functional drainage and fresh water availability.</t>
  </si>
  <si>
    <t>~$100 – $400 / ha per leaching event (water supply + pumping energy cost)</t>
  </si>
  <si>
    <t>FAO Paper 29; Hanson et al. (2008); SWAT-Salt China Study (2025)</t>
  </si>
  <si>
    <t>🧪 Chemical &amp; Soil Amelioration</t>
  </si>
  <si>
    <t>Gypsum Application (CaSO4·2H2O)</t>
  </si>
  <si>
    <t>Medium term</t>
  </si>
  <si>
    <t>Sodic Soil (pH &gt; 8.5, ESP &gt; 15%)</t>
  </si>
  <si>
    <t>Low-Medium (displaces Na+)</t>
  </si>
  <si>
    <t>Spreading and incorporating agricultural gypsum into sodic or saline-sodic soils.</t>
  </si>
  <si>
    <t>Calcium (Ca²⁺) ions displace exchangeable sodium (Na⁺) adsorbed on clay particle exchange sites.</t>
  </si>
  <si>
    <t>Restores soil aggregation, porosity, and hydraulic conductivity (flocculation), allowing displaced sodium to be leached out safely.</t>
  </si>
  <si>
    <t>~$200 – $800 / ha (based on 3–10 t/ha gift @ $50–$80/tonne incl. spreading)</t>
  </si>
  <si>
    <t>Qadir et al. (2007, 2014); Sumner &amp; Naidu (1998); Schoonover method studies</t>
  </si>
  <si>
    <t>Soil Acidification (Elemental Sulfur / Acid Injection)</t>
  </si>
  <si>
    <t>High-pH Calcareous Sodic Soil (pH &gt; 8.5)</t>
  </si>
  <si>
    <t>Low-Medium (mobilizes ions)</t>
  </si>
  <si>
    <t>Medium-High</t>
  </si>
  <si>
    <t>Applying elemental sulfur (S⁰) or injecting dilute sulfuric acid into high-pH calcareous soils.</t>
  </si>
  <si>
    <t>Soil bacteria oxidize sulfur to sulfuric acid, neutralizing Na2CO3/NaHCO3 and dissolving soil calcite (CaCO3) to release free Ca²⁺.</t>
  </si>
  <si>
    <t>Rapidly lowers extreme soil pH (&gt;8.5) and mobilizes native calcium to displace exchangeable sodium.</t>
  </si>
  <si>
    <t>~$300 – $1,100 / ha (0.5–2 t/ha S⁰ @ $400–$700/tonne; acid injection requires specialized rig)</t>
  </si>
  <si>
    <t>Qadir et al. (2007); Litalien &amp; Zeeb (2020); FAO Salinity Manuals</t>
  </si>
  <si>
    <t>Organic Amendments (Compost, Manure, Biochar)</t>
  </si>
  <si>
    <t>Degraded Saline / Sodic Soil</t>
  </si>
  <si>
    <t>Very Low (environmentally safe)</t>
  </si>
  <si>
    <t>Incorporating compost, animal manure, crop residues, or biochar into the topsoil layer.</t>
  </si>
  <si>
    <t>Enriches organic carbon, enhances Cation Exchange Capacity (CEC), improves soil aggregation, and stimulates microbial activity.</t>
  </si>
  <si>
    <t>Buffers osmotic stress on plant roots, increases soil water holding capacity, and reduces Na⁺ toxicity via organic complexation.</t>
  </si>
  <si>
    <t>~$250 – $900 / ha (compost/manure 10–30 t/ha @ $20–$40/t; biochar higher unit cost)</t>
  </si>
  <si>
    <t>Setia et al. (2013); Sun et al. (2019); Sahab et al. (2021); Amelung et al. (2020)</t>
  </si>
  <si>
    <t>Irrigation Water Acidification</t>
  </si>
  <si>
    <t>Mitigation</t>
  </si>
  <si>
    <t>High-Bicarbonate Irrigation Water</t>
  </si>
  <si>
    <t>Low (dilute acid, closed system)</t>
  </si>
  <si>
    <t>Injecting mild acids (sulfuric, nitric, or phosphoric acid) into pressurized drip/sprinkler irrigation water.</t>
  </si>
  <si>
    <t>Adjusts irrigation water pH to 6.0–6.5 and neutralizes toxic bicarbonate (HCO3⁻) ions.</t>
  </si>
  <si>
    <t>Prevents bicarbonate accumulation in the root zone and eliminates mineral/scale clogging in drip emitters.</t>
  </si>
  <si>
    <t>~$50 – $200 / ha / season (acid chemical injection kit + reagent consumption)</t>
  </si>
  <si>
    <t>Hanson (2012); Botía et al. (2005); Horticulturae (2017)</t>
  </si>
  <si>
    <t>🌱 Agronomic &amp; Biosaline Adaptation</t>
  </si>
  <si>
    <t>Mulched Drip Irrigation (MDI)</t>
  </si>
  <si>
    <t>Arid / Semi-Arid Row Crops</t>
  </si>
  <si>
    <t>Medium (film waste / inter-row salt)</t>
  </si>
  <si>
    <t>Combining surface/subsurface drip irrigation with plastic film (PE) or organic surface mulching.</t>
  </si>
  <si>
    <t>Shields the soil surface from direct solar radiation and wind, driving soil evaporation to near zero.</t>
  </si>
  <si>
    <t>Prevents capillary salt rise into the root zone while conserving moisture; note: inter-row strips require periodic flushing.</t>
  </si>
  <si>
    <t>~$800 – $2,200 / ha setup + ~$200–$400/ha/yr for plastic film replacement</t>
  </si>
  <si>
    <t>Wang et al. (2018, Eur. J. Soil Sci.); Wang et al. (2020); Karimzadeh et al. (2024)</t>
  </si>
  <si>
    <t>Biosaline Agriculture &amp; Salt-Tolerant Crops</t>
  </si>
  <si>
    <t>Adaptation</t>
  </si>
  <si>
    <t>Saline Soil (ECe 4–16+ dS/m) / Brackish Water</t>
  </si>
  <si>
    <t>Very Low (no effluent)</t>
  </si>
  <si>
    <t>Cultivating salt-tolerant crop varieties (e.g. barley, sugarbeet, quinoa, triticale) or halophytes (e.g. Salicornia).</t>
  </si>
  <si>
    <t>Utilizes physiological plant adaptations including Na⁺ exclusion, osmoregulation, and vacuolar salt sequestration.</t>
  </si>
  <si>
    <t>Sustains agricultural yield and economic revenue on salt-affected land where sensitive crops fail completely.</t>
  </si>
  <si>
    <t>~$50 – $250 / ha (incremental seed/planting material cost over conventional crops)</t>
  </si>
  <si>
    <t>Rozema &amp; Schat (2013); WUR Adapting to Salty Conditions Report (2024); Ruto et al. (2021)</t>
  </si>
  <si>
    <t>Biodrainage (Deep-Rooted Trees)</t>
  </si>
  <si>
    <t>Farm &amp; Regional level</t>
  </si>
  <si>
    <t>Shallow Water Table / Canal Margins</t>
  </si>
  <si>
    <t>Very Low (zero effluent)</t>
  </si>
  <si>
    <t>Planting rows of fast-growing, salt-tolerant trees (e.g. Eucalyptus, Poplar, Tamarix) along canals or field edges.</t>
  </si>
  <si>
    <t>Trees act as natural biological pumps by transpiring large volumes of shallow groundwater via deep root systems.</t>
  </si>
  <si>
    <t>Lowers water table depth without requiring mechanical energy or generating toxic saline effluent discharges.</t>
  </si>
  <si>
    <t>~$150 – $500 / ha (saplings, planting labor, initial establishment care)</t>
  </si>
  <si>
    <t>Singh (2021); Qadir et al. (2014); Heuperman et al. (2002, ILRI)</t>
  </si>
  <si>
    <t>Microbial Bio-Inoculation (PGPR &amp; Mycorrhizae)</t>
  </si>
  <si>
    <t>Mitigation / Adaptation</t>
  </si>
  <si>
    <t>Saline / Sodic Soil Osmotic Stress</t>
  </si>
  <si>
    <t>Very Low (eco-friendly)</t>
  </si>
  <si>
    <t>Inoculating seeds or roots with halotolerant Plant Growth-Promoting Rhizobacteria (PGPR) and mycorrhizal fungi.</t>
  </si>
  <si>
    <t>Microbes produce ACC deaminase, phytohormones, and exopolysaccharides that alleviate osmotic and oxidative stress.</t>
  </si>
  <si>
    <t>Enhances root development, water/nutrient uptake efficiency, and crop survival under saline soil conditions.</t>
  </si>
  <si>
    <t>~$30 – $120 / ha per application (commercial bio-inoculant cost)</t>
  </si>
  <si>
    <t>Sahab et al. (2021); Polonenko et al. (1986); Qu et al. (2015)</t>
  </si>
  <si>
    <t>Summer Fallow Cover &amp; Stubble Retention</t>
  </si>
  <si>
    <t>Hot Summer Fallow / High Evaporation</t>
  </si>
  <si>
    <t>Very Low (crop residue only)</t>
  </si>
  <si>
    <t>Maintaining cover crops or retaining stubble/crop residues on bare soil during dry summer fallow periods.</t>
  </si>
  <si>
    <t>Covers bare soil from direct sunlight, reducing soil surface temperatures and evaporation rates.</t>
  </si>
  <si>
    <t>Prevents severe capillary salt accumulation at the surface prior to the next cropping season.</t>
  </si>
  <si>
    <t>~$40 – $150 / ha (cover crop seed/planting or foregone stubble burning)</t>
  </si>
  <si>
    <t>Panagea et al. (2016); Stavi et al. (2021); Agronomy Review (2019)</t>
  </si>
  <si>
    <t>💧 On-Farm Water Management</t>
  </si>
  <si>
    <t>High-Frequency Drip Irrigation</t>
  </si>
  <si>
    <t>Saline Soils / Brackish Water Irrigated</t>
  </si>
  <si>
    <t>Low-Medium (localised leachate)</t>
  </si>
  <si>
    <t>Applying frequent, small-volume water applications directly to the active crop root zone.</t>
  </si>
  <si>
    <t>Maintains continuously high soil water potential around the root system.</t>
  </si>
  <si>
    <t>Keeps soluble salts diluted in the soil solution, minimizing osmotic water stress on crops.</t>
  </si>
  <si>
    <t>~$1,200 – $3,500 / ha (drip network, head control, filtration, automated valves)</t>
  </si>
  <si>
    <t>Karimzadeh et al. (2024); Sun et al. (2019); SWAT-Salt China Study (2025)</t>
  </si>
  <si>
    <t>Conjunctive Water Use (Blending / Cyclic Use)</t>
  </si>
  <si>
    <t>Fresh Water Scarcity + Brackish Source</t>
  </si>
  <si>
    <t>Low-Medium (blended salt load)</t>
  </si>
  <si>
    <t>Strategically blending or alternating fresh surface water and brackish groundwater based on crop sensitivity stage.</t>
  </si>
  <si>
    <t>Fresh water is prioritized during sensitive germination/seedling stages; brackish water is used during tolerant stages.</t>
  </si>
  <si>
    <t>Extends limited fresh water supplies while avoiding acute salt damage during critical growth stages.</t>
  </si>
  <si>
    <t>~$100 – $400 / ha (dual manifold/mixing valves or management costs)</t>
  </si>
  <si>
    <t>Sharma &amp; Rao (1998); Khajanchi &amp; Meena (2008); Singh (2021)</t>
  </si>
  <si>
    <t>Rainwater Harvesting &amp; Managed Infiltration</t>
  </si>
  <si>
    <t>Seasonal Rainfall Areas</t>
  </si>
  <si>
    <t>Very Low (fresh water only)</t>
  </si>
  <si>
    <t>Capturing seasonal rainfall via farm ponds, contour bunds, or infiltration trenches.</t>
  </si>
  <si>
    <t>Collects runoff and directs fresh rainwater into the soil profile to recharge local freshwater lenses.</t>
  </si>
  <si>
    <t>Provides natural, cost-free salt leaching and creates a protective fresh groundwater buffer.</t>
  </si>
  <si>
    <t>~$200 – $1,500 / ha (earthworks, farm pond excavation, bunding)</t>
  </si>
  <si>
    <t>FAO Water Reports; UNEP World Atlas of Desertification; Singh (2021)</t>
  </si>
  <si>
    <t>Controlled Drainage &amp; Water Table Management</t>
  </si>
  <si>
    <t>Subsurface Drained Croplands</t>
  </si>
  <si>
    <t>Low (reduces effluent volume)</t>
  </si>
  <si>
    <t>Installing adjustable water level control structures on subsurface drain outlets.</t>
  </si>
  <si>
    <t>Regulates drainage outflow: holds back fresh water during dry spells and opens outlets during leaching events.</t>
  </si>
  <si>
    <t>Reduces total drain outflow volume and nutrient/salt export by 30–50% while conserving shallow soil moisture.</t>
  </si>
  <si>
    <t>~$300 – $800 / ha (control structure hardware retrofitted on drain outlets)</t>
  </si>
  <si>
    <t>Ritzema et al. (2023); Shedekar et al. (2025); DRAINMOD research</t>
  </si>
  <si>
    <t>🌐 Regional &amp; Nature-Based Solutions</t>
  </si>
  <si>
    <t>Aquifer Storage and Recovery (ASR)</t>
  </si>
  <si>
    <t>Coastal / Inland Brackish Aquifers</t>
  </si>
  <si>
    <t>Low (aquifer injection permit)</t>
  </si>
  <si>
    <t>Injecting surplus winter surface water or treated rainwater into deep brackish aquifers via injection wells.</t>
  </si>
  <si>
    <t>Forms an underground 'freshwater bubble' within a saline aquifer, stored without evaporation loss.</t>
  </si>
  <si>
    <t>Provides strategic seasonal freshwater storage for extraction during peak summer drought/irrigation periods.</t>
  </si>
  <si>
    <t>~$100,000 – $500,000+ per ASR well site (~$1,500–$4,000 / ha serviced capital cost)</t>
  </si>
  <si>
    <t>Acacia Water (2024); WUR Adapting to Salty Conditions (2024); Pyne (2005)</t>
  </si>
  <si>
    <t>Reset control has moved to the Dashboard (cell K2).</t>
  </si>
  <si>
    <t>SECTION B: CLASSIFICATION CRITERIA — WHAT EVERY CLASS IN THIS SHEET MEANS</t>
  </si>
  <si>
    <t>Variable</t>
  </si>
  <si>
    <t>Class as used in this sheet</t>
  </si>
  <si>
    <t>Definition &amp; threshold</t>
  </si>
  <si>
    <t>What it means when you use it</t>
  </si>
  <si>
    <t>Stops salinization before it becomes a problem.</t>
  </si>
  <si>
    <t>Triggered when the drivers are present (seepage, shallow water table, poor water quality) but the soil is still healthy.</t>
  </si>
  <si>
    <t>Reduces the rate or severity of ongoing salinization.</t>
  </si>
  <si>
    <t>Triggered when salt is accumulating but the field is still productive.</t>
  </si>
  <si>
    <t>Restores soil that is already saline or sodic.</t>
  </si>
  <si>
    <t>Triggered once ECe ≥ 4 dS/m or SAR ≥ 13 has actually been measured.</t>
  </si>
  <si>
    <t>Works with the salinity that is there instead of removing it.</t>
  </si>
  <si>
    <t>Triggered when reclamation is not affordable or not physically possible.</t>
  </si>
  <si>
    <t>&lt; $250 / ha — indicative capital plus first-year operation, taken from column M.</t>
  </si>
  <si>
    <t>Fits an existing farm operating budget: consumables and light field work, no new equipment.</t>
  </si>
  <si>
    <t>$250 – $750 / ha.</t>
  </si>
  <si>
    <t>Contracted machinery or bulk inputs; still a farm-level operating decision.</t>
  </si>
  <si>
    <t>$750 – $2,000 / ha.</t>
  </si>
  <si>
    <t>On-farm capital investment that has to be depreciated over several seasons.</t>
  </si>
  <si>
    <t>&gt; $2,000 / ha, or any off-farm capital work (canals, well fields, ASR sites).</t>
  </si>
  <si>
    <t>Needs project or public financing; not a decision a single grower can take.</t>
  </si>
  <si>
    <t>Applied inside one holding.</t>
  </si>
  <si>
    <t>The grower decides and pays; no coordination needed.</t>
  </si>
  <si>
    <t>Works at farm scale but only pays off when neighbours do the same.</t>
  </si>
  <si>
    <t>Needs at least informal coordination along a canal or a water-table unit.</t>
  </si>
  <si>
    <t>Shared infrastructure or policy.</t>
  </si>
  <si>
    <t>Requires a water board, authority or ministry; long lead time and permits.</t>
  </si>
  <si>
    <t>&lt; 1 year — time between implementation and full intended effect.</t>
  </si>
  <si>
    <t>Can be applied and judged within one cropping cycle; use these to buy time.</t>
  </si>
  <si>
    <t>1 – 5 years.</t>
  </si>
  <si>
    <t>Effect builds over several seasons and usually needs repeated application and monitoring.</t>
  </si>
  <si>
    <t>&gt; 5 years, or a permanent asset with a multi-decade design life.</t>
  </si>
  <si>
    <t>Treat as an investment: it fixes the driver, not the symptom. Note: the internship proposal splits short/long at 2 years; this sheet uses 1/5 years so that a medium class exists.</t>
  </si>
  <si>
    <t>Very Low  /  Low</t>
  </si>
  <si>
    <t>No effluent, or a discharge no saltier than the receiving water.</t>
  </si>
  <si>
    <t>No permit or disposal plan needed.</t>
  </si>
  <si>
    <t>Low-Medium  /  Medium</t>
  </si>
  <si>
    <t>Limited salt export or a waste stream (plastic film, localised leachate).</t>
  </si>
  <si>
    <t>Needs a disposal or recycling plan, but no discharge consent.</t>
  </si>
  <si>
    <t>Medium-High  /  High  /  Very High</t>
  </si>
  <si>
    <t>Concentrated saline discharge to surface water or to an aquifer.</t>
  </si>
  <si>
    <t>Needs a discharge permit and a documented receiving-water assessment before it can be proposed.</t>
  </si>
  <si>
    <t>Low  (incl. Low-Medium)</t>
  </si>
  <si>
    <t>Existing farm labour and machinery.</t>
  </si>
  <si>
    <t>Little supervision; can start next season.</t>
  </si>
  <si>
    <t>Needs design input or a contractor.</t>
  </si>
  <si>
    <t>Regular monitoring; budget for advisory hours.</t>
  </si>
  <si>
    <t>High  (incl. Medium-High)</t>
  </si>
  <si>
    <t>Specialist design, permits, and continuous operation (pumps, dosing, energy).</t>
  </si>
  <si>
    <t>Only realistic with trained staff or an operating contract.</t>
  </si>
  <si>
    <t>🚦 Suitability Status</t>
  </si>
  <si>
    <t>🟢 RECOMMENDED</t>
  </si>
  <si>
    <t>A measured value in '1. Field Protocol' crosses the trigger threshold for this measure.</t>
  </si>
  <si>
    <t>Set automatically — the text names the value and the threshold that triggered it. RECOMMENDED (PROVISIONAL) is used for gypsum only: CROSS/SAR is missing and pH &gt; 8.5 suggests a sodic soil, so confirm before the full dose.</t>
  </si>
  <si>
    <t>🔵 NO-REGRET</t>
  </si>
  <si>
    <t>Sound practice, but nothing in the current data specifically calls for it.</t>
  </si>
  <si>
    <t>Safe to include; do not present it as a diagnosis-driven priority.</t>
  </si>
  <si>
    <t>🟠 DATA NEEDED</t>
  </si>
  <si>
    <t>The parameter that decides this measure has not been measured yet.</t>
  </si>
  <si>
    <t>The text names the exact input cell to fill in on '1. Field Protocol'.</t>
  </si>
  <si>
    <t>🔴 NOT RECOMMENDED  /  UNSAFE NOW</t>
  </si>
  <si>
    <t>Current conditions make the measure useless, or actively harmful.</t>
  </si>
  <si>
    <t>UNSAFE NOW is reserved for the leaching trap: never flush a sodic soil before adding calcium.</t>
  </si>
  <si>
    <t>✅ Select Measure?</t>
  </si>
  <si>
    <t>Selected</t>
  </si>
  <si>
    <t>The only column on this sheet you edit by hand.</t>
  </si>
  <si>
    <t>Copied straight into Block 3 of the Dashboard, sorted short → medium → long term.</t>
  </si>
  <si>
    <t>Default state.</t>
  </si>
  <si>
    <t>Ignored by the Dashboard.</t>
  </si>
  <si>
    <t>RESET (blank all results)  (Dashboard cell K2)</t>
  </si>
  <si>
    <t>Reset control on the Dashboard.</t>
  </si>
  <si>
    <t>Blanks every processed input value and every tick in P4:P24 at once, without losing them: set K2 back to "LIVE (normal use)" and everything returns. To erase permanently instead, clear Section A columns E and F, and this column P.</t>
  </si>
  <si>
    <t>🏗️ Category</t>
  </si>
  <si>
    <t>Earthworks, drainage and water-conveyance hardware.</t>
  </si>
  <si>
    <t>Changes where the water goes; the heaviest and most permanent group.</t>
  </si>
  <si>
    <t>Amendments that change soil or water chemistry.</t>
  </si>
  <si>
    <t>Changes what is on the exchange complex; needed before leaching a sodic soil.</t>
  </si>
  <si>
    <t>Crop choice, cover, mulch and biology.</t>
  </si>
  <si>
    <t>Changes what the field grows and how much soil evaporation happens.</t>
  </si>
  <si>
    <t>Irrigation scheduling, water sourcing and drain control.</t>
  </si>
  <si>
    <t>Changes how and when water is applied; usually the fastest lever.</t>
  </si>
  <si>
    <t>Storage, recharge and landscape-scale measures.</t>
  </si>
  <si>
    <t>Changes the regional water balance; needs an authority to carry it.</t>
  </si>
  <si>
    <t>SECTION C: DECISION LOGIC — WHICH INPUT DECIDES EACH MEASURE, AND AT WHICH THRESHOLD IT FLIPS</t>
  </si>
  <si>
    <t>Measure</t>
  </si>
  <si>
    <t>Deciding input (cell on ‘1. Field Protocol’)</t>
  </si>
  <si>
    <t>🟢 RECOMMENDED when</t>
  </si>
  <si>
    <t>🟠 DATA NEEDED when</t>
  </si>
  <si>
    <t>🔴 NOT RECOMMENDED / UNSAFE when</t>
  </si>
  <si>
    <t>Where the threshold comes from</t>
  </si>
  <si>
    <t>Water table depth (B9); Soil ECe (B6)</t>
  </si>
  <si>
    <t>Water table &lt; 2.0 m, or ECe ≥ 4.0 dS/m — leachate needs somewhere to go.</t>
  </si>
  <si>
    <t>B9 and B6 both empty.</t>
  </si>
  <si>
    <t>Water table ≥ 2.0 m and ECe &lt; 4.0: no drainage constraint to solve.</t>
  </si>
  <si>
    <t>2.0 m is the depth above which capillary rise reaches the root zone (Ritzema 1994; Wang et al. 2022). ECe 4.0 dS/m is the USDA saline boundary (Richards 1954).</t>
  </si>
  <si>
    <t>Water table depth (B9)</t>
  </si>
  <si>
    <t>Water table &lt; 2.0 m — gravity drainage as the low-cost alternative to SPD.</t>
  </si>
  <si>
    <t>B9 empty.</t>
  </si>
  <si>
    <t>Water table ≥ 2.0 m: nothing to drain.</t>
  </si>
  <si>
    <t>Same 2.0 m capillary threshold as SPD (Tanji &amp; Kielen 2002; Singh 2019).</t>
  </si>
  <si>
    <t>Water table &lt; 1.5 m — severe regional waterlogging only.</t>
  </si>
  <si>
    <t>Water table ≥ 1.5 m: regional pumping cannot be justified.</t>
  </si>
  <si>
    <t>Tighter than farm drainage because energy cost is continuous (Qadir et al. 2014; Pakistan SCARP review).</t>
  </si>
  <si>
    <t>Water table &lt; 2.0 m — a rising table points to canal or field seepage.</t>
  </si>
  <si>
    <t>Never red. Falls back to 🔵 NO-REGRET at ≥ 2.0 m: preventive, never harmful.</t>
  </si>
  <si>
    <t>Canal seepage is the dominant driver of regional water-table rise in dryland schemes (Wichelns 1999; Singh 2021).</t>
  </si>
  <si>
    <t>Soil pH (B5); SAR (B7)</t>
  </si>
  <si>
    <t>SAR ≥ 13 — a dispersed crust and pan are likely. pH alone never triggers it.</t>
  </si>
  <si>
    <t>B5 and B7 both empty; or pH ≥ 8.5 without SAR (pH alone is not conclusive).</t>
  </si>
  <si>
    <t>Never red. Falls back to 🔵 NO-REGRET: worth doing only if a pan is confirmed by field inspection.</t>
  </si>
  <si>
    <t>SAR 13 / pH 8.5 sodic boundary (Richards 1954). Pan depth itself is not an input in this model.</t>
  </si>
  <si>
    <t>Micro-topography &amp; slope (B12)</t>
  </si>
  <si>
    <t>Elevation spread ≥ 5 cm across the field.</t>
  </si>
  <si>
    <t>B12 empty — the survey has not been done.</t>
  </si>
  <si>
    <t>Never red. Falls back to 🔵 NO-REGRET below 5 cm: re-check every 3–5 years.</t>
  </si>
  <si>
    <t>5 cm is the practical limit for uniform surface irrigation (Rhoades et al. 1992; Ashraf &amp; Saeed 2006). Added in v7 — v6 had no threshold here at all.</t>
  </si>
  <si>
    <t>pH (B5); SAR (B7); ECe (B6)</t>
  </si>
  <si>
    <t>ECe ≥ 4.0 dS/m and the soil is not sodic.</t>
  </si>
  <si>
    <t>ECe empty while the soil is not sodic; or ECe ≥ 4.0 while sodicity is not measured.</t>
  </si>
  <si>
    <t>🔴 UNSAFE NOW if SAR ≥ 13, or if SAR is missing and pH &gt; 8.5 (precaution) — the leaching trap outranks every other outcome. NOT RECOMMENDED if ECe &lt; 4.0: no salt load, wasted water.</t>
  </si>
  <si>
    <t>Flushing a sodic soil before adding calcium collapses the structure (Qadir et al. 2007; Van Hoorn &amp; Van Alphen 1994).</t>
  </si>
  <si>
    <t>SAR ≥ 13 — sodium has to be displaced before any leaching. PROVISIONAL if SAR is missing and pH &gt; 8.5 (pH is not an official criterion).</t>
  </si>
  <si>
    <t>B5 and B7 both empty; or SAR missing and pH ≤ 8.5 (pH cannot show whether the soil is sodic).</t>
  </si>
  <si>
    <t>SAR &lt; 13 measured, whatever the pH: gypsum only adds salt to a non-sodic soil.</t>
  </si>
  <si>
    <t>Richards (1954); Qadir et al. (2007). Dose still needs CEC (B13) and bulk density (B14).</t>
  </si>
  <si>
    <t>Soil pH (B5); Native lime % (B17)</t>
  </si>
  <si>
    <t>SAR ≥ 13 measured, pH ≥ 8.5 and native lime &gt; 0 % — acid frees the calcium already in the soil.</t>
  </si>
  <si>
    <t>pH empty; or pH ≥ 8.5 with lime unmeasured; or SAR not measured (gypsum is then the provisional option).</t>
  </si>
  <si>
    <t>pH &lt; 8.5: no carbonate alkalinity to neutralise. Lime = 0 %: nothing to dissolve, use gypsum instead. SAR &lt; 13 measured: the soil is not sodic.</t>
  </si>
  <si>
    <t>Acid only releases Ca²⁺ where CaCO₃ is present (Qadir et al. 2007; Litalien &amp; Zeeb 2020).</t>
  </si>
  <si>
    <t>pH (B5); ECe (B6); SAR (B7)</t>
  </si>
  <si>
    <t>SAR ≥ 13, or ECe ≥ 4.0 dS/m — buffers osmotic stress and rebuilds structure.</t>
  </si>
  <si>
    <t>All three empty.</t>
  </si>
  <si>
    <t>Never red. Falls back to 🔵 NO-REGRET: raises CEC and water holding capacity in any soil.</t>
  </si>
  <si>
    <t>Setia et al. (2013); Sun et al. (2019); Amelung et al. (2020).</t>
  </si>
  <si>
    <t>RSC (B16); ECw (B8) as proxy</t>
  </si>
  <si>
    <t>RSC &gt; 2.5 meq/L — a real bicarbonate hazard.</t>
  </si>
  <si>
    <t>RSC and ECw both empty; or RSC empty while ECw ≥ 0.7 (confirm with an RSC analysis).</t>
  </si>
  <si>
    <t>RSC ≤ 2.5 meq/L; or ECw &lt; 0.7 dS/m with no RSC measured: fresh water, no hazard.</t>
  </si>
  <si>
    <t>RSC 2.5 meq/L hazard boundary (Ayers &amp; Westcot 1985; Doneen 1954). Changed in v7 — v6 judged this on ECw, which measures salinity, not bicarbonate.</t>
  </si>
  <si>
    <t>ECe (B6); ECw (B8)</t>
  </si>
  <si>
    <t>ECe ≥ 4.0 dS/m, or ECw ≥ 0.7 dS/m — there is a salt load to keep off the surface.</t>
  </si>
  <si>
    <t>B6 and B8 both empty.</t>
  </si>
  <si>
    <t>Never red. Falls back to 🔵 NO-REGRET: still saves water in an arid climate.</t>
  </si>
  <si>
    <t>ECw 0.7 dS/m is the FAO ‘slight restriction’ boundary (Ayers &amp; Westcot 1985); Wang et al. (2018).</t>
  </si>
  <si>
    <t>ECe (B6); Crop tolerance ECt (B19)</t>
  </si>
  <si>
    <t>ECe above the crop’s own threshold ECt; or ECe ≥ 8.0 (tolerant species only); or ECe ≥ 4.0 (moderately tolerant cultivars).</t>
  </si>
  <si>
    <t>B6 empty.</t>
  </si>
  <si>
    <t>ECe &lt; 4.0 dS/m: sensitive crops still yield normally.</t>
  </si>
  <si>
    <t>ECe classes 4 and 8 dS/m (Richards 1954); crop-specific ECt after Maas &amp; Hoffman. B19 was an unused input before v7.</t>
  </si>
  <si>
    <t>Water table &lt; 2.0 m — within reach of deep tree roots, and it produces no effluent.</t>
  </si>
  <si>
    <t>Water table ≥ 2.0 m: roots cannot reach it.</t>
  </si>
  <si>
    <t>Heuperman et al. (2002, ILRI); Singh (2021).</t>
  </si>
  <si>
    <t>ECe (B6); SAR (B7)</t>
  </si>
  <si>
    <t>ECe ≥ 4.0, or SAR ≥ 13 — roots are under osmotic or ionic stress.</t>
  </si>
  <si>
    <t>B6 and B7 both empty.</t>
  </si>
  <si>
    <t>Never red. Falls back to 🔵 NO-REGRET: cheap, but little effect without salt stress.</t>
  </si>
  <si>
    <t>Sahab et al. (2021); Qu et al. (2015).</t>
  </si>
  <si>
    <t>Water table depth (B9); ECe (B6)</t>
  </si>
  <si>
    <t>Water table &lt; 2.0 m, or ECe ≥ 4.0 — cover blocks capillary salt rise over the fallow.</t>
  </si>
  <si>
    <t>Not used — this measure never waits for data.</t>
  </si>
  <si>
    <t>Never red. Falls back to 🔵 NO-REGRET: always cuts bare-soil evaporation.</t>
  </si>
  <si>
    <t>Panagea et al. (2016); Stavi et al. (2021).</t>
  </si>
  <si>
    <t>ECe ≥ 4.0, or ECw ≥ 0.7 — frequent wetting keeps the root zone diluted.</t>
  </si>
  <si>
    <t>Neither threshold met: standard scheduling is enough.</t>
  </si>
  <si>
    <t>Ayers &amp; Westcot (1985); Hanson et al. (2008).</t>
  </si>
  <si>
    <t>Irrigation water ECw (B8)</t>
  </si>
  <si>
    <t>ECw ≥ 1.5 dS/m — worth blending or cycling with a fresher source.</t>
  </si>
  <si>
    <t>B8 empty.</t>
  </si>
  <si>
    <t>ECw &lt; 1.5 dS/m: the supply is already fresh, nothing to blend.</t>
  </si>
  <si>
    <t>1.5 dS/m sits inside the FAO ‘slight to moderate restriction’ band (Ayers &amp; Westcot 1985).</t>
  </si>
  <si>
    <t>ECw ≥ 0.7 dS/m — harvested rainwater dilutes a brackish supply.</t>
  </si>
  <si>
    <t>Never red. Falls back to 🔵 NO-REGRET below 0.7: still a dry-season buffer.</t>
  </si>
  <si>
    <t>Ayers &amp; Westcot (1985); freshwater-lens recharge practice.</t>
  </si>
  <si>
    <t>Water table &lt; 2.0 m — regulate outflow and cut effluent volume.</t>
  </si>
  <si>
    <t>Never red. Falls back to 🔵 NO-REGRET at ≥ 2.0 m, and only if subsurface drains already exist.</t>
  </si>
  <si>
    <t>Ritzema (1994); requires an existing drainage network, which this model does not record.</t>
  </si>
  <si>
    <t>ECw ≥ 0.7 dS/m — store winter surplus to dilute the summer supply.</t>
  </si>
  <si>
    <t>Never red. Falls back to 🔵 NO-REGRET: regional storage still needs a confined aquifer.</t>
  </si>
  <si>
    <t>Ayers &amp; Westcot (1985); ASR feasibility depends on aquifer confinement, not recorded here.</t>
  </si>
  <si>
    <t>FAO &amp; ICBA (2023) / WASAG Farmers' Guidelines (Tabel 6 &amp; 7); gebaseerd op Rengasamy &amp; Marchuk (2011)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</si>
</sst>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charset val="1"/>
    </font>
    <font>
      <b/>
      <sz val="24"/>
      <color rgb="FFFFFFFF"/>
      <name val="Calibri"/>
      <family val="2"/>
    </font>
    <font>
      <b/>
      <sz val="11"/>
      <color rgb="FFFFFFFF"/>
      <name val="Calibri"/>
      <family val="2"/>
      <charset val="1"/>
    </font>
    <font>
      <i/>
      <sz val="9"/>
      <color rgb="FF7F7F7F"/>
      <name val="Calibri"/>
      <family val="2"/>
    </font>
    <font>
      <b/>
      <sz val="10"/>
      <color rgb="FF1F4E78"/>
      <name val="Calibri"/>
      <family val="2"/>
    </font>
    <font>
      <b/>
      <sz val="10"/>
      <color rgb="FF262626"/>
      <name val="Calibri"/>
      <family val="2"/>
    </font>
    <font>
      <i/>
      <sz val="9"/>
      <color rgb="FF7F7F7F"/>
      <name val="Calibri"/>
      <family val="2"/>
      <charset val="1"/>
    </font>
    <font>
      <b/>
      <sz val="10"/>
      <color rgb="FF9C0006"/>
      <name val="Calibri"/>
      <family val="2"/>
    </font>
    <font>
      <b/>
      <sz val="10"/>
      <color rgb="FFFFFFFF"/>
      <name val="Calibri"/>
      <family val="2"/>
      <charset val="1"/>
    </font>
    <font>
      <b/>
      <sz val="12"/>
      <color rgb="FFFFFFFF"/>
      <name val="Calibri"/>
      <family val="2"/>
    </font>
    <font>
      <b/>
      <sz val="9"/>
      <color rgb="FF262626"/>
      <name val="Calibri"/>
      <family val="2"/>
      <charset val="1"/>
    </font>
    <font>
      <b/>
      <sz val="10"/>
      <color rgb="FF0000FF"/>
      <name val="Calibri"/>
      <family val="2"/>
      <charset val="1"/>
    </font>
    <font>
      <sz val="9"/>
      <color rgb="FF7F7F7F"/>
      <name val="Calibri"/>
      <family val="2"/>
      <charset val="1"/>
    </font>
    <font>
      <b/>
      <sz val="10"/>
      <color rgb="FFFFFFFF"/>
      <name val="Calibri"/>
      <family val="2"/>
    </font>
    <font>
      <sz val="10"/>
      <color rgb="FF262626"/>
      <name val="Calibri"/>
      <family val="2"/>
    </font>
    <font>
      <b/>
      <sz val="12"/>
      <color rgb="FF262626"/>
      <name val="Calibri"/>
      <family val="2"/>
    </font>
    <font>
      <b/>
      <sz val="10"/>
      <color rgb="FF2F5597"/>
      <name val="Calibri"/>
      <family val="2"/>
    </font>
    <font>
      <b/>
      <sz val="14"/>
      <color rgb="FF262626"/>
      <name val="Calibri"/>
      <family val="2"/>
    </font>
    <font>
      <b/>
      <sz val="9"/>
      <color rgb="FFFFFFFF"/>
      <name val="Calibri"/>
      <family val="2"/>
      <charset val="1"/>
    </font>
    <font>
      <sz val="9"/>
      <color rgb="FF262626"/>
      <name val="Calibri"/>
      <family val="2"/>
      <charset val="1"/>
    </font>
    <font>
      <sz val="10"/>
      <color rgb="FF262626"/>
      <name val="Calibri"/>
      <family val="2"/>
      <charset val="1"/>
    </font>
    <font>
      <b/>
      <sz val="11"/>
      <color rgb="FF262626"/>
      <name val="Calibri"/>
      <family val="2"/>
    </font>
    <font>
      <b/>
      <i/>
      <sz val="10"/>
      <color rgb="FF1F4E78"/>
      <name val="Calibri"/>
      <family val="2"/>
    </font>
    <font>
      <b/>
      <sz val="14"/>
      <color rgb="FFFFFFFF"/>
      <name val="Calibri"/>
      <family val="2"/>
      <charset val="1"/>
    </font>
    <font>
      <b/>
      <sz val="11"/>
      <color rgb="FF1F4E79"/>
      <name val="Calibri"/>
      <family val="2"/>
      <charset val="1"/>
    </font>
    <font>
      <b/>
      <sz val="10"/>
      <color rgb="FF000000"/>
      <name val="Calibri"/>
      <family val="2"/>
      <charset val="1"/>
    </font>
    <font>
      <sz val="10"/>
      <color rgb="FF000000"/>
      <name val="Calibri"/>
      <family val="2"/>
      <charset val="1"/>
    </font>
    <font>
      <b/>
      <sz val="11"/>
      <color rgb="FF000000"/>
      <name val="Calibri"/>
      <family val="2"/>
      <charset val="1"/>
    </font>
    <font>
      <b/>
      <i/>
      <sz val="11"/>
      <color rgb="FF595959"/>
      <name val="Calibri"/>
      <family val="2"/>
      <charset val="1"/>
    </font>
    <font>
      <i/>
      <sz val="10"/>
      <color rgb="FF595959"/>
      <name val="Calibri"/>
      <family val="2"/>
      <charset val="1"/>
    </font>
    <font>
      <i/>
      <sz val="9"/>
      <color rgb="FF333333"/>
      <name val="Calibri"/>
      <family val="2"/>
      <charset val="1"/>
    </font>
    <font>
      <sz val="11"/>
      <color rgb="FF000000"/>
      <name val="Calibri"/>
      <family val="2"/>
      <charset val="1"/>
    </font>
    <font>
      <b/>
      <sz val="16"/>
      <color rgb="FFFFFFFF"/>
      <name val="Calibri"/>
      <family val="2"/>
      <charset val="1"/>
    </font>
    <font>
      <i/>
      <sz val="11"/>
      <color rgb="FFE0E6ED"/>
      <name val="Calibri"/>
      <family val="2"/>
      <charset val="1"/>
    </font>
    <font>
      <b/>
      <sz val="11"/>
      <color rgb="FFFFFFFF"/>
      <name val="Calibri"/>
      <family val="2"/>
    </font>
    <font>
      <sz val="10"/>
      <color rgb="FF222222"/>
      <name val="Calibri"/>
      <family val="2"/>
      <charset val="1"/>
    </font>
    <font>
      <b/>
      <sz val="10"/>
      <color rgb="FF111111"/>
      <name val="Calibri"/>
      <family val="2"/>
      <charset val="1"/>
    </font>
    <font>
      <b/>
      <sz val="10"/>
      <color rgb="FF222222"/>
      <name val="Calibri"/>
      <family val="2"/>
    </font>
    <font>
      <sz val="10"/>
      <name val="Calibri"/>
      <family val="2"/>
    </font>
    <font>
      <b/>
      <sz val="14"/>
      <color rgb="FFFFFFFF"/>
      <name val="Calibri"/>
      <family val="2"/>
    </font>
    <font>
      <b/>
      <sz val="10"/>
      <color rgb="FF1F4E79"/>
      <name val="Calibri"/>
      <family val="2"/>
    </font>
    <font>
      <b/>
      <sz val="10"/>
      <color rgb="FF000000"/>
      <name val="Calibri"/>
      <family val="2"/>
    </font>
    <font>
      <sz val="10"/>
      <color rgb="FF000000"/>
      <name val="Calibri"/>
      <family val="2"/>
    </font>
    <font>
      <b/>
      <sz val="24"/>
      <color rgb="FF262626"/>
      <name val="Calibri"/>
      <family val="2"/>
    </font>
    <font>
      <b/>
      <sz val="16"/>
      <color rgb="FF262626"/>
      <name val="Calibri"/>
      <family val="2"/>
    </font>
    <font>
      <b/>
      <sz val="11"/>
      <color rgb="FF1F4E78"/>
      <name val="Calibri"/>
      <family val="2"/>
    </font>
    <font>
      <sz val="11"/>
      <color rgb="FF262626"/>
      <name val="Calibri"/>
      <family val="2"/>
    </font>
    <font>
      <sz val="11"/>
      <color rgb="FF595959"/>
      <name val="Calibri"/>
      <family val="2"/>
    </font>
    <font>
      <b/>
      <sz val="11"/>
      <color rgb="FF2F5597"/>
      <name val="Calibri"/>
      <family val="2"/>
    </font>
    <font>
      <sz val="11"/>
      <color theme="1"/>
      <name val="Calibri"/>
      <family val="2"/>
    </font>
  </fonts>
  <fills count="31">
    <fill>
      <patternFill patternType="none"/>
    </fill>
    <fill>
      <patternFill patternType="gray125"/>
    </fill>
    <fill>
      <patternFill patternType="solid">
        <fgColor rgb="FF1F4E78"/>
        <bgColor rgb="FF1F4E79"/>
      </patternFill>
    </fill>
    <fill>
      <patternFill patternType="solid">
        <fgColor rgb="FFD9E1F2"/>
        <bgColor rgb="FFDCE6F2"/>
      </patternFill>
    </fill>
    <fill>
      <patternFill patternType="solid">
        <fgColor rgb="FFFFFFFF"/>
        <bgColor rgb="FFF2F5F9"/>
      </patternFill>
    </fill>
    <fill>
      <patternFill patternType="solid">
        <fgColor rgb="FF2F5597"/>
        <bgColor rgb="FF2F5496"/>
      </patternFill>
    </fill>
    <fill>
      <patternFill patternType="solid">
        <fgColor rgb="FFFFF2CC"/>
        <bgColor rgb="FFFDEADA"/>
      </patternFill>
    </fill>
    <fill>
      <patternFill patternType="solid">
        <fgColor rgb="FFF2F2F2"/>
        <bgColor rgb="FFF2F4F8"/>
      </patternFill>
    </fill>
    <fill>
      <patternFill patternType="solid">
        <fgColor rgb="FF1F4E79"/>
        <bgColor rgb="FF1F4E78"/>
      </patternFill>
    </fill>
    <fill>
      <patternFill patternType="solid">
        <fgColor rgb="FF2F5496"/>
        <bgColor rgb="FF2F5597"/>
      </patternFill>
    </fill>
    <fill>
      <patternFill patternType="solid">
        <fgColor theme="4" tint="0.79989013336588644"/>
        <bgColor rgb="FFE0E6ED"/>
      </patternFill>
    </fill>
    <fill>
      <patternFill patternType="solid">
        <fgColor theme="6" tint="0.39988402966399123"/>
        <bgColor rgb="FFD0D7DE"/>
      </patternFill>
    </fill>
    <fill>
      <patternFill patternType="solid">
        <fgColor theme="6" tint="0.79989013336588644"/>
        <bgColor rgb="FFE2EFDA"/>
      </patternFill>
    </fill>
    <fill>
      <patternFill patternType="solid">
        <fgColor rgb="FFFFC000"/>
        <bgColor rgb="FFFCD5B5"/>
      </patternFill>
    </fill>
    <fill>
      <patternFill patternType="solid">
        <fgColor rgb="FFF2F4F8"/>
        <bgColor rgb="FFF2F5F9"/>
      </patternFill>
    </fill>
    <fill>
      <patternFill patternType="solid">
        <fgColor theme="9" tint="0.59987182226020086"/>
        <bgColor rgb="FFF2DCDB"/>
      </patternFill>
    </fill>
    <fill>
      <patternFill patternType="solid">
        <fgColor theme="9" tint="0.79989013336588644"/>
        <bgColor rgb="FFFCE4D6"/>
      </patternFill>
    </fill>
    <fill>
      <patternFill patternType="solid">
        <fgColor theme="5" tint="0.59987182226020086"/>
        <bgColor rgb="FFFCD5B5"/>
      </patternFill>
    </fill>
    <fill>
      <patternFill patternType="solid">
        <fgColor theme="5" tint="0.79989013336588644"/>
        <bgColor rgb="FFFCE4D6"/>
      </patternFill>
    </fill>
    <fill>
      <patternFill patternType="solid">
        <fgColor theme="4" tint="0.59987182226020086"/>
        <bgColor rgb="FFC6D9E8"/>
      </patternFill>
    </fill>
    <fill>
      <patternFill patternType="solid">
        <fgColor rgb="FFC6D9E8"/>
        <bgColor rgb="FFD0D7DE"/>
      </patternFill>
    </fill>
    <fill>
      <patternFill patternType="solid">
        <fgColor rgb="FFFF0000"/>
        <bgColor rgb="FF9C0006"/>
      </patternFill>
    </fill>
    <fill>
      <patternFill patternType="solid">
        <fgColor rgb="FF1B365D"/>
        <bgColor rgb="FF333333"/>
      </patternFill>
    </fill>
    <fill>
      <patternFill patternType="solid">
        <fgColor rgb="FF3A536B"/>
        <bgColor rgb="FF2F5496"/>
      </patternFill>
    </fill>
    <fill>
      <patternFill patternType="solid">
        <fgColor rgb="FF276A3C"/>
        <bgColor rgb="FF375623"/>
      </patternFill>
    </fill>
    <fill>
      <patternFill patternType="solid">
        <fgColor rgb="FFEBF3F5"/>
        <bgColor rgb="FFF2F4F8"/>
      </patternFill>
    </fill>
    <fill>
      <patternFill patternType="solid">
        <fgColor rgb="FFF7F3E9"/>
        <bgColor rgb="FFFDF1EC"/>
      </patternFill>
    </fill>
    <fill>
      <patternFill patternType="solid">
        <fgColor rgb="FFEDF7ED"/>
        <bgColor rgb="FFEBF3F5"/>
      </patternFill>
    </fill>
    <fill>
      <patternFill patternType="solid">
        <fgColor rgb="FFE3F2FD"/>
        <bgColor rgb="FFEBF3F5"/>
      </patternFill>
    </fill>
    <fill>
      <patternFill patternType="solid">
        <fgColor rgb="FFF3E5F5"/>
        <bgColor rgb="FFEDE7F6"/>
      </patternFill>
    </fill>
    <fill>
      <patternFill patternType="solid">
        <fgColor theme="2"/>
        <bgColor indexed="64"/>
      </patternFill>
    </fill>
  </fills>
  <borders count="45">
    <border>
      <left/>
      <right/>
      <top/>
      <bottom/>
      <diagonal/>
    </border>
    <border>
      <left style="thin">
        <color rgb="FFD9D9D9"/>
      </left>
      <right style="thin">
        <color rgb="FFD9D9D9"/>
      </right>
      <top style="thin">
        <color rgb="FFD9D9D9"/>
      </top>
      <bottom style="thin">
        <color rgb="FFD9D9D9"/>
      </bottom>
      <diagonal/>
    </border>
    <border>
      <left style="thin">
        <color rgb="FFD9DEE7"/>
      </left>
      <right style="thin">
        <color rgb="FFD9DEE7"/>
      </right>
      <top style="thin">
        <color rgb="FFD9DEE7"/>
      </top>
      <bottom style="thin">
        <color rgb="FFD9DEE7"/>
      </bottom>
      <diagonal/>
    </border>
    <border>
      <left style="medium">
        <color auto="1"/>
      </left>
      <right style="thin">
        <color rgb="FFD9D9D9"/>
      </right>
      <top style="medium">
        <color auto="1"/>
      </top>
      <bottom style="medium">
        <color auto="1"/>
      </bottom>
      <diagonal/>
    </border>
    <border>
      <left style="thin">
        <color rgb="FFD9D9D9"/>
      </left>
      <right style="thin">
        <color rgb="FFD9D9D9"/>
      </right>
      <top style="medium">
        <color auto="1"/>
      </top>
      <bottom style="medium">
        <color auto="1"/>
      </bottom>
      <diagonal/>
    </border>
    <border>
      <left style="thin">
        <color rgb="FFD9D9D9"/>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n">
        <color rgb="FFD9D9D9"/>
      </right>
      <top style="thin">
        <color auto="1"/>
      </top>
      <bottom style="thin">
        <color auto="1"/>
      </bottom>
      <diagonal/>
    </border>
    <border>
      <left style="thin">
        <color rgb="FFD9D9D9"/>
      </left>
      <right/>
      <top style="thin">
        <color auto="1"/>
      </top>
      <bottom style="thin">
        <color auto="1"/>
      </bottom>
      <diagonal/>
    </border>
    <border>
      <left style="medium">
        <color auto="1"/>
      </left>
      <right style="medium">
        <color auto="1"/>
      </right>
      <top style="medium">
        <color auto="1"/>
      </top>
      <bottom style="medium">
        <color auto="1"/>
      </bottom>
      <diagonal/>
    </border>
    <border>
      <left/>
      <right/>
      <top style="thin">
        <color auto="1"/>
      </top>
      <bottom/>
      <diagonal/>
    </border>
    <border>
      <left/>
      <right style="medium">
        <color auto="1"/>
      </right>
      <top style="thin">
        <color auto="1"/>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medium">
        <color auto="1"/>
      </top>
      <bottom style="medium">
        <color auto="1"/>
      </bottom>
      <diagonal/>
    </border>
    <border>
      <left style="medium">
        <color auto="1"/>
      </left>
      <right/>
      <top style="thin">
        <color auto="1"/>
      </top>
      <bottom/>
      <diagonal/>
    </border>
    <border>
      <left/>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style="thin">
        <color auto="1"/>
      </top>
      <bottom style="medium">
        <color auto="1"/>
      </bottom>
      <diagonal/>
    </border>
    <border>
      <left style="thin">
        <color rgb="FFD0D7DE"/>
      </left>
      <right style="thin">
        <color rgb="FFD0D7DE"/>
      </right>
      <top style="thin">
        <color rgb="FFD0D7DE"/>
      </top>
      <bottom style="thin">
        <color rgb="FFD0D7DE"/>
      </bottom>
      <diagonal/>
    </border>
    <border>
      <left/>
      <right/>
      <top/>
      <bottom style="thin">
        <color rgb="FFD9DEE7"/>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style="thin">
        <color rgb="FFD9D9D9"/>
      </right>
      <top/>
      <bottom/>
      <diagonal/>
    </border>
    <border>
      <left/>
      <right/>
      <top style="thin">
        <color rgb="FFD9DEE7"/>
      </top>
      <bottom style="thin">
        <color rgb="FFD9DEE7"/>
      </bottom>
      <diagonal/>
    </border>
    <border>
      <left style="thin">
        <color indexed="64"/>
      </left>
      <right style="thin">
        <color indexed="64"/>
      </right>
      <top style="thin">
        <color indexed="64"/>
      </top>
      <bottom style="thin">
        <color indexed="64"/>
      </bottom>
      <diagonal/>
    </border>
    <border>
      <left style="medium">
        <color auto="1"/>
      </left>
      <right/>
      <top/>
      <bottom/>
      <diagonal/>
    </border>
    <border>
      <left style="medium">
        <color auto="1"/>
      </left>
      <right style="thin">
        <color rgb="FFD9D9D9"/>
      </right>
      <top/>
      <bottom style="thin">
        <color auto="1"/>
      </bottom>
      <diagonal/>
    </border>
    <border>
      <left style="thin">
        <color rgb="FFD9D9D9"/>
      </left>
      <right/>
      <top/>
      <bottom style="thin">
        <color auto="1"/>
      </bottom>
      <diagonal/>
    </border>
    <border>
      <left style="medium">
        <color auto="1"/>
      </left>
      <right/>
      <top/>
      <bottom style="thin">
        <color auto="1"/>
      </bottom>
      <diagonal/>
    </border>
  </borders>
  <cellStyleXfs count="1">
    <xf numFmtId="0" fontId="0" fillId="0" borderId="0"/>
  </cellStyleXfs>
  <cellXfs count="208">
    <xf numFmtId="0" fontId="0" fillId="0" borderId="0" xfId="0"/>
    <xf numFmtId="0" fontId="10" fillId="0" borderId="2" xfId="0" applyFont="1" applyBorder="1" applyAlignment="1">
      <alignment horizontal="left" vertical="center" wrapText="1"/>
    </xf>
    <xf numFmtId="0" fontId="11" fillId="6" borderId="2" xfId="0" applyFont="1" applyFill="1" applyBorder="1" applyAlignment="1">
      <alignment horizontal="center" vertical="center" wrapText="1"/>
    </xf>
    <xf numFmtId="0" fontId="12" fillId="0" borderId="2" xfId="0" applyFont="1" applyBorder="1" applyAlignment="1">
      <alignment horizontal="left" vertical="center" wrapText="1"/>
    </xf>
    <xf numFmtId="0" fontId="18" fillId="2" borderId="2" xfId="0" applyFont="1" applyFill="1" applyBorder="1" applyAlignment="1">
      <alignment horizontal="left" vertical="center" wrapText="1"/>
    </xf>
    <xf numFmtId="0" fontId="19" fillId="0" borderId="2" xfId="0" applyFont="1" applyBorder="1" applyAlignment="1">
      <alignment horizontal="left" vertical="center" wrapText="1"/>
    </xf>
    <xf numFmtId="2" fontId="20" fillId="0" borderId="2" xfId="0" applyNumberFormat="1" applyFont="1" applyBorder="1" applyAlignment="1">
      <alignment horizontal="center" vertical="center" wrapText="1"/>
    </xf>
    <xf numFmtId="0" fontId="20" fillId="0" borderId="2" xfId="0" applyFont="1" applyBorder="1" applyAlignment="1">
      <alignment horizontal="center" vertical="center" wrapText="1"/>
    </xf>
    <xf numFmtId="0" fontId="0" fillId="4" borderId="0" xfId="0" applyFill="1"/>
    <xf numFmtId="0" fontId="2" fillId="9" borderId="3"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2" fillId="9" borderId="5" xfId="0" applyFont="1" applyFill="1" applyBorder="1" applyAlignment="1">
      <alignment horizontal="center" vertical="center" wrapText="1"/>
    </xf>
    <xf numFmtId="0" fontId="27" fillId="13" borderId="9" xfId="0" applyFont="1" applyFill="1" applyBorder="1" applyAlignment="1">
      <alignment horizontal="center" vertical="center" wrapText="1"/>
    </xf>
    <xf numFmtId="0" fontId="26" fillId="12" borderId="10" xfId="0" applyFont="1" applyFill="1" applyBorder="1" applyAlignment="1">
      <alignment horizontal="left" vertical="center" wrapText="1" indent="1"/>
    </xf>
    <xf numFmtId="0" fontId="26" fillId="12" borderId="10" xfId="0" applyFont="1" applyFill="1" applyBorder="1" applyAlignment="1">
      <alignment horizontal="right" vertical="center" wrapText="1"/>
    </xf>
    <xf numFmtId="0" fontId="26" fillId="12" borderId="10" xfId="0" applyFont="1" applyFill="1" applyBorder="1" applyAlignment="1">
      <alignment horizontal="left" vertical="center" wrapText="1"/>
    </xf>
    <xf numFmtId="0" fontId="26" fillId="12" borderId="11" xfId="0" applyFont="1" applyFill="1" applyBorder="1" applyAlignment="1">
      <alignment horizontal="left" vertical="center" wrapText="1"/>
    </xf>
    <xf numFmtId="0" fontId="28" fillId="7" borderId="9" xfId="0" applyFont="1" applyFill="1" applyBorder="1" applyAlignment="1">
      <alignment horizontal="center" vertical="center" wrapText="1"/>
    </xf>
    <xf numFmtId="0" fontId="29" fillId="14" borderId="12" xfId="0" applyFont="1" applyFill="1" applyBorder="1" applyAlignment="1">
      <alignment horizontal="left" vertical="center" wrapText="1" indent="1"/>
    </xf>
    <xf numFmtId="0" fontId="29" fillId="14" borderId="12" xfId="0" applyFont="1" applyFill="1" applyBorder="1" applyAlignment="1">
      <alignment horizontal="right" vertical="center" wrapText="1"/>
    </xf>
    <xf numFmtId="0" fontId="29" fillId="14" borderId="12" xfId="0" applyFont="1" applyFill="1" applyBorder="1" applyAlignment="1">
      <alignment horizontal="left" vertical="center" wrapText="1"/>
    </xf>
    <xf numFmtId="0" fontId="29" fillId="14" borderId="13" xfId="0" applyFont="1" applyFill="1" applyBorder="1" applyAlignment="1">
      <alignment horizontal="left" vertical="center" wrapText="1"/>
    </xf>
    <xf numFmtId="0" fontId="25" fillId="11" borderId="14" xfId="0" applyFont="1" applyFill="1" applyBorder="1" applyAlignment="1">
      <alignment horizontal="left" vertical="center" wrapText="1" indent="1"/>
    </xf>
    <xf numFmtId="0" fontId="26" fillId="12" borderId="15" xfId="0" applyFont="1" applyFill="1" applyBorder="1" applyAlignment="1">
      <alignment horizontal="left" vertical="center" wrapText="1" indent="1"/>
    </xf>
    <xf numFmtId="0" fontId="28" fillId="14" borderId="9" xfId="0" applyFont="1" applyFill="1" applyBorder="1" applyAlignment="1">
      <alignment horizontal="center" vertical="center" wrapText="1"/>
    </xf>
    <xf numFmtId="0" fontId="29" fillId="14" borderId="0" xfId="0" applyFont="1" applyFill="1" applyAlignment="1">
      <alignment horizontal="left" vertical="center" wrapText="1" indent="1"/>
    </xf>
    <xf numFmtId="0" fontId="29" fillId="14" borderId="0" xfId="0" applyFont="1" applyFill="1" applyAlignment="1">
      <alignment horizontal="right" vertical="center" wrapText="1"/>
    </xf>
    <xf numFmtId="0" fontId="29" fillId="14" borderId="0" xfId="0" applyFont="1" applyFill="1" applyAlignment="1">
      <alignment horizontal="left" vertical="center" wrapText="1"/>
    </xf>
    <xf numFmtId="0" fontId="29" fillId="14" borderId="16" xfId="0" applyFont="1" applyFill="1" applyBorder="1" applyAlignment="1">
      <alignment horizontal="left" vertical="center" wrapText="1"/>
    </xf>
    <xf numFmtId="0" fontId="26" fillId="12" borderId="15" xfId="0" applyFont="1" applyFill="1" applyBorder="1" applyAlignment="1">
      <alignment horizontal="right" vertical="center" wrapText="1"/>
    </xf>
    <xf numFmtId="0" fontId="26" fillId="12" borderId="15" xfId="0" applyFont="1" applyFill="1" applyBorder="1" applyAlignment="1">
      <alignment horizontal="left" vertical="center" wrapText="1"/>
    </xf>
    <xf numFmtId="0" fontId="26" fillId="12" borderId="17" xfId="0" applyFont="1" applyFill="1" applyBorder="1" applyAlignment="1">
      <alignment horizontal="left" vertical="center" wrapText="1"/>
    </xf>
    <xf numFmtId="0" fontId="26" fillId="4" borderId="0" xfId="0" applyFont="1" applyFill="1" applyAlignment="1">
      <alignment horizontal="left" vertical="center" wrapText="1" indent="1"/>
    </xf>
    <xf numFmtId="0" fontId="27" fillId="4" borderId="0" xfId="0" applyFont="1" applyFill="1" applyAlignment="1">
      <alignment horizontal="center" vertical="center" wrapText="1"/>
    </xf>
    <xf numFmtId="0" fontId="26" fillId="4" borderId="0" xfId="0" applyFont="1" applyFill="1" applyAlignment="1">
      <alignment horizontal="left" vertical="center" wrapText="1"/>
    </xf>
    <xf numFmtId="0" fontId="26" fillId="4" borderId="0" xfId="0" applyFont="1" applyFill="1" applyAlignment="1">
      <alignment horizontal="center" vertical="center" wrapText="1"/>
    </xf>
    <xf numFmtId="0" fontId="27" fillId="13" borderId="18" xfId="0" applyFont="1" applyFill="1" applyBorder="1" applyAlignment="1">
      <alignment horizontal="center" vertical="center" wrapText="1"/>
    </xf>
    <xf numFmtId="0" fontId="26" fillId="16" borderId="10" xfId="0" applyFont="1" applyFill="1" applyBorder="1" applyAlignment="1">
      <alignment horizontal="left" vertical="center" wrapText="1" indent="1"/>
    </xf>
    <xf numFmtId="0" fontId="26" fillId="16" borderId="10" xfId="0" applyFont="1" applyFill="1" applyBorder="1" applyAlignment="1">
      <alignment horizontal="right" vertical="center" wrapText="1"/>
    </xf>
    <xf numFmtId="0" fontId="26" fillId="16" borderId="10" xfId="0" applyFont="1" applyFill="1" applyBorder="1" applyAlignment="1">
      <alignment horizontal="left" vertical="center" wrapText="1"/>
    </xf>
    <xf numFmtId="0" fontId="26" fillId="16" borderId="11" xfId="0" applyFont="1" applyFill="1" applyBorder="1" applyAlignment="1">
      <alignment horizontal="left" vertical="center" wrapText="1"/>
    </xf>
    <xf numFmtId="0" fontId="28" fillId="14" borderId="6" xfId="0" applyFont="1" applyFill="1" applyBorder="1" applyAlignment="1">
      <alignment horizontal="center" vertical="center" wrapText="1"/>
    </xf>
    <xf numFmtId="0" fontId="28" fillId="14" borderId="19" xfId="0" applyFont="1" applyFill="1" applyBorder="1" applyAlignment="1">
      <alignment horizontal="center" vertical="center" wrapText="1"/>
    </xf>
    <xf numFmtId="0" fontId="29" fillId="14" borderId="22" xfId="0" applyFont="1" applyFill="1" applyBorder="1" applyAlignment="1">
      <alignment horizontal="left" vertical="center" wrapText="1" indent="1"/>
    </xf>
    <xf numFmtId="0" fontId="29" fillId="14" borderId="22" xfId="0" applyFont="1" applyFill="1" applyBorder="1" applyAlignment="1">
      <alignment horizontal="right" vertical="center" wrapText="1"/>
    </xf>
    <xf numFmtId="0" fontId="29" fillId="14" borderId="22" xfId="0" applyFont="1" applyFill="1" applyBorder="1" applyAlignment="1">
      <alignment horizontal="left" vertical="center" wrapText="1"/>
    </xf>
    <xf numFmtId="0" fontId="29" fillId="14" borderId="23" xfId="0" applyFont="1" applyFill="1" applyBorder="1" applyAlignment="1">
      <alignment horizontal="left" vertical="center" wrapText="1"/>
    </xf>
    <xf numFmtId="0" fontId="0" fillId="0" borderId="9" xfId="0" applyBorder="1"/>
    <xf numFmtId="0" fontId="29" fillId="4" borderId="0" xfId="0" applyFont="1" applyFill="1" applyAlignment="1">
      <alignment horizontal="left" vertical="center" wrapText="1" indent="1"/>
    </xf>
    <xf numFmtId="0" fontId="28" fillId="4" borderId="0" xfId="0" applyFont="1" applyFill="1" applyAlignment="1">
      <alignment horizontal="center" vertical="center" wrapText="1"/>
    </xf>
    <xf numFmtId="0" fontId="29" fillId="4" borderId="0" xfId="0" applyFont="1" applyFill="1" applyAlignment="1">
      <alignment horizontal="left" vertical="center" wrapText="1"/>
    </xf>
    <xf numFmtId="0" fontId="29" fillId="4" borderId="0" xfId="0" applyFont="1" applyFill="1" applyAlignment="1">
      <alignment horizontal="center" vertical="center" wrapText="1"/>
    </xf>
    <xf numFmtId="0" fontId="27" fillId="13" borderId="26" xfId="0" applyFont="1" applyFill="1" applyBorder="1" applyAlignment="1">
      <alignment horizontal="center" vertical="center" wrapText="1"/>
    </xf>
    <xf numFmtId="0" fontId="26" fillId="18" borderId="10" xfId="0" applyFont="1" applyFill="1" applyBorder="1" applyAlignment="1">
      <alignment horizontal="left" vertical="center" wrapText="1" indent="1"/>
    </xf>
    <xf numFmtId="0" fontId="26" fillId="18" borderId="10" xfId="0" applyFont="1" applyFill="1" applyBorder="1" applyAlignment="1">
      <alignment horizontal="right" vertical="center" wrapText="1"/>
    </xf>
    <xf numFmtId="0" fontId="26" fillId="18" borderId="10" xfId="0" applyFont="1" applyFill="1" applyBorder="1" applyAlignment="1">
      <alignment horizontal="left" vertical="center" wrapText="1"/>
    </xf>
    <xf numFmtId="0" fontId="26" fillId="18" borderId="11" xfId="0" applyFont="1" applyFill="1" applyBorder="1" applyAlignment="1">
      <alignment horizontal="left" vertical="center" wrapText="1"/>
    </xf>
    <xf numFmtId="0" fontId="28" fillId="14" borderId="26" xfId="0" applyFont="1" applyFill="1" applyBorder="1" applyAlignment="1">
      <alignment horizontal="center" vertical="center" wrapText="1"/>
    </xf>
    <xf numFmtId="0" fontId="26" fillId="18" borderId="17" xfId="0" applyFont="1" applyFill="1" applyBorder="1" applyAlignment="1">
      <alignment horizontal="left" vertical="center" wrapText="1" indent="1"/>
    </xf>
    <xf numFmtId="0" fontId="27" fillId="13" borderId="28" xfId="0" applyFont="1" applyFill="1" applyBorder="1" applyAlignment="1">
      <alignment horizontal="center" vertical="center" wrapText="1"/>
    </xf>
    <xf numFmtId="0" fontId="26" fillId="18" borderId="29" xfId="0" applyFont="1" applyFill="1" applyBorder="1" applyAlignment="1">
      <alignment horizontal="left" vertical="center" wrapText="1" indent="1"/>
    </xf>
    <xf numFmtId="0" fontId="26" fillId="18" borderId="30" xfId="0" applyFont="1" applyFill="1" applyBorder="1" applyAlignment="1">
      <alignment horizontal="right" vertical="center" wrapText="1"/>
    </xf>
    <xf numFmtId="0" fontId="26" fillId="18" borderId="30" xfId="0" applyFont="1" applyFill="1" applyBorder="1" applyAlignment="1">
      <alignment horizontal="left" vertical="center" wrapText="1"/>
    </xf>
    <xf numFmtId="0" fontId="26" fillId="18" borderId="31" xfId="0" applyFont="1" applyFill="1" applyBorder="1" applyAlignment="1">
      <alignment horizontal="left" vertical="center" wrapText="1"/>
    </xf>
    <xf numFmtId="0" fontId="28" fillId="14" borderId="28" xfId="0" applyFont="1" applyFill="1" applyBorder="1" applyAlignment="1">
      <alignment horizontal="center" vertical="center" wrapText="1"/>
    </xf>
    <xf numFmtId="0" fontId="29" fillId="14" borderId="32" xfId="0" applyFont="1" applyFill="1" applyBorder="1" applyAlignment="1">
      <alignment horizontal="left" vertical="center" wrapText="1" indent="1"/>
    </xf>
    <xf numFmtId="0" fontId="25" fillId="17" borderId="14" xfId="0" applyFont="1" applyFill="1" applyBorder="1" applyAlignment="1">
      <alignment vertical="center" wrapText="1"/>
    </xf>
    <xf numFmtId="0" fontId="26" fillId="18" borderId="12" xfId="0" applyFont="1" applyFill="1" applyBorder="1" applyAlignment="1">
      <alignment horizontal="left" vertical="center" wrapText="1" indent="1"/>
    </xf>
    <xf numFmtId="0" fontId="26" fillId="18" borderId="12" xfId="0" applyFont="1" applyFill="1" applyBorder="1" applyAlignment="1">
      <alignment horizontal="right" vertical="center" wrapText="1"/>
    </xf>
    <xf numFmtId="0" fontId="26" fillId="18" borderId="12" xfId="0" applyFont="1" applyFill="1" applyBorder="1" applyAlignment="1">
      <alignment horizontal="left" vertical="center" wrapText="1"/>
    </xf>
    <xf numFmtId="0" fontId="26" fillId="18" borderId="13" xfId="0" applyFont="1" applyFill="1" applyBorder="1" applyAlignment="1">
      <alignment horizontal="left" vertical="center" wrapText="1"/>
    </xf>
    <xf numFmtId="0" fontId="25" fillId="17" borderId="32" xfId="0" applyFont="1" applyFill="1" applyBorder="1" applyAlignment="1">
      <alignment vertical="center" wrapText="1"/>
    </xf>
    <xf numFmtId="0" fontId="26" fillId="18" borderId="23" xfId="0" applyFont="1" applyFill="1" applyBorder="1" applyAlignment="1">
      <alignment horizontal="left" vertical="center" wrapText="1" indent="1"/>
    </xf>
    <xf numFmtId="0" fontId="26" fillId="18" borderId="21" xfId="0" applyFont="1" applyFill="1" applyBorder="1" applyAlignment="1">
      <alignment horizontal="left" vertical="center" wrapText="1" indent="1"/>
    </xf>
    <xf numFmtId="0" fontId="26" fillId="18" borderId="21" xfId="0" applyFont="1" applyFill="1" applyBorder="1" applyAlignment="1">
      <alignment horizontal="right" vertical="center" wrapText="1"/>
    </xf>
    <xf numFmtId="0" fontId="26" fillId="18" borderId="21" xfId="0" applyFont="1" applyFill="1" applyBorder="1" applyAlignment="1">
      <alignment horizontal="left" vertical="center" wrapText="1"/>
    </xf>
    <xf numFmtId="0" fontId="26" fillId="18" borderId="33" xfId="0" applyFont="1" applyFill="1" applyBorder="1" applyAlignment="1">
      <alignment horizontal="left" vertical="center" wrapText="1"/>
    </xf>
    <xf numFmtId="0" fontId="26" fillId="10" borderId="10" xfId="0" applyFont="1" applyFill="1" applyBorder="1" applyAlignment="1">
      <alignment horizontal="left" vertical="center" wrapText="1" indent="1"/>
    </xf>
    <xf numFmtId="0" fontId="26" fillId="10" borderId="10" xfId="0" applyFont="1" applyFill="1" applyBorder="1" applyAlignment="1">
      <alignment horizontal="right" vertical="center" wrapText="1"/>
    </xf>
    <xf numFmtId="0" fontId="26" fillId="10" borderId="10" xfId="0" applyFont="1" applyFill="1" applyBorder="1" applyAlignment="1">
      <alignment horizontal="left" vertical="center" wrapText="1"/>
    </xf>
    <xf numFmtId="0" fontId="26" fillId="10" borderId="11" xfId="0" applyFont="1" applyFill="1" applyBorder="1" applyAlignment="1">
      <alignment horizontal="left" vertical="center" wrapText="1"/>
    </xf>
    <xf numFmtId="0" fontId="25" fillId="19" borderId="20" xfId="0" applyFont="1" applyFill="1" applyBorder="1" applyAlignment="1">
      <alignment horizontal="center" vertical="center" wrapText="1"/>
    </xf>
    <xf numFmtId="0" fontId="26" fillId="10" borderId="21" xfId="0" applyFont="1" applyFill="1" applyBorder="1" applyAlignment="1">
      <alignment horizontal="left" vertical="center" wrapText="1" indent="1"/>
    </xf>
    <xf numFmtId="0" fontId="26" fillId="10" borderId="21" xfId="0" applyFont="1" applyFill="1" applyBorder="1" applyAlignment="1">
      <alignment horizontal="right" vertical="center" wrapText="1"/>
    </xf>
    <xf numFmtId="0" fontId="26" fillId="10" borderId="21" xfId="0" applyFont="1" applyFill="1" applyBorder="1" applyAlignment="1">
      <alignment horizontal="left" vertical="center" wrapText="1"/>
    </xf>
    <xf numFmtId="0" fontId="26" fillId="10" borderId="33" xfId="0" applyFont="1" applyFill="1" applyBorder="1" applyAlignment="1">
      <alignment horizontal="left" vertical="center" wrapText="1"/>
    </xf>
    <xf numFmtId="0" fontId="2" fillId="9"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26" fillId="0" borderId="1" xfId="0" applyFont="1" applyBorder="1" applyAlignment="1">
      <alignment horizontal="left" vertical="center" wrapText="1"/>
    </xf>
    <xf numFmtId="0" fontId="26" fillId="0" borderId="0" xfId="0" applyFont="1" applyAlignment="1">
      <alignment horizontal="center" vertical="center" wrapText="1"/>
    </xf>
    <xf numFmtId="0" fontId="26" fillId="21" borderId="1" xfId="0" applyFont="1" applyFill="1" applyBorder="1" applyAlignment="1">
      <alignment horizontal="center" vertical="center" wrapText="1"/>
    </xf>
    <xf numFmtId="0" fontId="31" fillId="0" borderId="0" xfId="0" applyFont="1" applyAlignment="1">
      <alignment wrapText="1"/>
    </xf>
    <xf numFmtId="0" fontId="31" fillId="0" borderId="0" xfId="0" applyFont="1"/>
    <xf numFmtId="0" fontId="2" fillId="23" borderId="34" xfId="0" applyFont="1" applyFill="1" applyBorder="1" applyAlignment="1">
      <alignment horizontal="center" vertical="center" wrapText="1"/>
    </xf>
    <xf numFmtId="0" fontId="34" fillId="2" borderId="0" xfId="0" applyFont="1" applyFill="1" applyAlignment="1">
      <alignment horizontal="center" vertical="center" wrapText="1"/>
    </xf>
    <xf numFmtId="0" fontId="34" fillId="24" borderId="0" xfId="0" applyFont="1" applyFill="1" applyAlignment="1">
      <alignment horizontal="center" vertical="center" wrapText="1"/>
    </xf>
    <xf numFmtId="0" fontId="35" fillId="25" borderId="34" xfId="0" applyFont="1" applyFill="1" applyBorder="1" applyAlignment="1">
      <alignment horizontal="center" vertical="center" wrapText="1"/>
    </xf>
    <xf numFmtId="0" fontId="36" fillId="25" borderId="34" xfId="0" applyFont="1" applyFill="1" applyBorder="1" applyAlignment="1">
      <alignment horizontal="left" vertical="center" wrapText="1"/>
    </xf>
    <xf numFmtId="0" fontId="35" fillId="25" borderId="34" xfId="0" applyFont="1" applyFill="1" applyBorder="1" applyAlignment="1">
      <alignment horizontal="center" vertical="center"/>
    </xf>
    <xf numFmtId="0" fontId="35" fillId="25" borderId="34" xfId="0" applyFont="1" applyFill="1" applyBorder="1" applyAlignment="1">
      <alignment horizontal="left" vertical="top" wrapText="1"/>
    </xf>
    <xf numFmtId="0" fontId="37" fillId="0" borderId="1" xfId="0" applyFont="1" applyBorder="1" applyAlignment="1">
      <alignment horizontal="left" vertical="center" wrapText="1"/>
    </xf>
    <xf numFmtId="0" fontId="37" fillId="0" borderId="1" xfId="0" applyFont="1" applyBorder="1" applyAlignment="1">
      <alignment horizontal="center" vertical="center" wrapText="1"/>
    </xf>
    <xf numFmtId="0" fontId="35" fillId="26" borderId="34" xfId="0" applyFont="1" applyFill="1" applyBorder="1" applyAlignment="1">
      <alignment horizontal="center" vertical="center" wrapText="1"/>
    </xf>
    <xf numFmtId="0" fontId="36" fillId="26" borderId="34" xfId="0" applyFont="1" applyFill="1" applyBorder="1" applyAlignment="1">
      <alignment horizontal="left" vertical="center" wrapText="1"/>
    </xf>
    <xf numFmtId="0" fontId="35" fillId="26" borderId="34" xfId="0" applyFont="1" applyFill="1" applyBorder="1" applyAlignment="1">
      <alignment horizontal="center" vertical="center"/>
    </xf>
    <xf numFmtId="0" fontId="35" fillId="26" borderId="34" xfId="0" applyFont="1" applyFill="1" applyBorder="1" applyAlignment="1">
      <alignment horizontal="left" vertical="top" wrapText="1"/>
    </xf>
    <xf numFmtId="0" fontId="35" fillId="27" borderId="34" xfId="0" applyFont="1" applyFill="1" applyBorder="1" applyAlignment="1">
      <alignment horizontal="center" vertical="center" wrapText="1"/>
    </xf>
    <xf numFmtId="0" fontId="36" fillId="27" borderId="34" xfId="0" applyFont="1" applyFill="1" applyBorder="1" applyAlignment="1">
      <alignment horizontal="left" vertical="center" wrapText="1"/>
    </xf>
    <xf numFmtId="0" fontId="35" fillId="27" borderId="34" xfId="0" applyFont="1" applyFill="1" applyBorder="1" applyAlignment="1">
      <alignment horizontal="center" vertical="center"/>
    </xf>
    <xf numFmtId="0" fontId="35" fillId="27" borderId="34" xfId="0" applyFont="1" applyFill="1" applyBorder="1" applyAlignment="1">
      <alignment horizontal="left" vertical="top" wrapText="1"/>
    </xf>
    <xf numFmtId="0" fontId="35" fillId="28" borderId="34" xfId="0" applyFont="1" applyFill="1" applyBorder="1" applyAlignment="1">
      <alignment horizontal="center" vertical="center" wrapText="1"/>
    </xf>
    <xf numFmtId="0" fontId="36" fillId="28" borderId="34" xfId="0" applyFont="1" applyFill="1" applyBorder="1" applyAlignment="1">
      <alignment horizontal="left" vertical="center" wrapText="1"/>
    </xf>
    <xf numFmtId="0" fontId="35" fillId="28" borderId="34" xfId="0" applyFont="1" applyFill="1" applyBorder="1" applyAlignment="1">
      <alignment horizontal="center" vertical="center"/>
    </xf>
    <xf numFmtId="0" fontId="35" fillId="28" borderId="34" xfId="0" applyFont="1" applyFill="1" applyBorder="1" applyAlignment="1">
      <alignment horizontal="left" vertical="top" wrapText="1"/>
    </xf>
    <xf numFmtId="0" fontId="35" fillId="29" borderId="34" xfId="0" applyFont="1" applyFill="1" applyBorder="1" applyAlignment="1">
      <alignment horizontal="center" vertical="center" wrapText="1"/>
    </xf>
    <xf numFmtId="0" fontId="36" fillId="29" borderId="34" xfId="0" applyFont="1" applyFill="1" applyBorder="1" applyAlignment="1">
      <alignment horizontal="left" vertical="center" wrapText="1"/>
    </xf>
    <xf numFmtId="0" fontId="35" fillId="29" borderId="34" xfId="0" applyFont="1" applyFill="1" applyBorder="1" applyAlignment="1">
      <alignment horizontal="center" vertical="center"/>
    </xf>
    <xf numFmtId="0" fontId="35" fillId="29" borderId="34" xfId="0" applyFont="1" applyFill="1" applyBorder="1" applyAlignment="1">
      <alignment horizontal="left" vertical="top" wrapText="1"/>
    </xf>
    <xf numFmtId="0" fontId="3" fillId="0" borderId="1" xfId="0" applyFont="1" applyBorder="1" applyAlignment="1">
      <alignment horizontal="left" vertical="center" wrapText="1"/>
    </xf>
    <xf numFmtId="0" fontId="38" fillId="0" borderId="1" xfId="0" applyFont="1" applyBorder="1" applyAlignment="1">
      <alignment horizontal="center" vertical="center" wrapText="1"/>
    </xf>
    <xf numFmtId="0" fontId="34" fillId="9" borderId="1" xfId="0" applyFont="1" applyFill="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left" vertical="center" wrapText="1"/>
    </xf>
    <xf numFmtId="0" fontId="42" fillId="0" borderId="1" xfId="0" applyFont="1" applyBorder="1" applyAlignment="1">
      <alignment horizontal="center" vertical="center" wrapText="1"/>
    </xf>
    <xf numFmtId="0" fontId="34" fillId="2" borderId="1" xfId="0" applyFont="1" applyFill="1" applyBorder="1" applyAlignment="1">
      <alignment horizontal="center" vertical="center" wrapText="1"/>
    </xf>
    <xf numFmtId="0" fontId="45" fillId="4" borderId="1" xfId="0" applyFont="1" applyFill="1" applyBorder="1" applyAlignment="1">
      <alignment horizontal="center" vertical="center" wrapText="1"/>
    </xf>
    <xf numFmtId="0" fontId="46" fillId="4" borderId="1" xfId="0" applyFont="1" applyFill="1" applyBorder="1" applyAlignment="1">
      <alignment horizontal="center" vertical="center" wrapText="1"/>
    </xf>
    <xf numFmtId="0" fontId="49" fillId="30" borderId="40" xfId="0" applyFont="1" applyFill="1" applyBorder="1" applyAlignment="1">
      <alignment horizontal="left" vertical="top" wrapText="1" indent="1"/>
    </xf>
    <xf numFmtId="0" fontId="6" fillId="0" borderId="35" xfId="0" applyFont="1" applyBorder="1" applyAlignment="1">
      <alignment horizontal="left" vertical="center" wrapText="1"/>
    </xf>
    <xf numFmtId="0" fontId="0" fillId="0" borderId="35" xfId="0" applyBorder="1"/>
    <xf numFmtId="0" fontId="14" fillId="0" borderId="1" xfId="0" applyFont="1" applyBorder="1" applyAlignment="1">
      <alignment horizontal="left" vertical="center" wrapText="1"/>
    </xf>
    <xf numFmtId="0" fontId="0" fillId="0" borderId="36" xfId="0" applyBorder="1"/>
    <xf numFmtId="0" fontId="0" fillId="0" borderId="37" xfId="0" applyBorder="1"/>
    <xf numFmtId="0" fontId="43" fillId="7" borderId="1"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 fillId="0" borderId="0" xfId="0" applyFont="1" applyAlignment="1">
      <alignment horizontal="left" vertical="center"/>
    </xf>
    <xf numFmtId="0" fontId="0" fillId="0" borderId="0" xfId="0"/>
    <xf numFmtId="0" fontId="8" fillId="5" borderId="39" xfId="0" applyFont="1" applyFill="1" applyBorder="1" applyAlignment="1">
      <alignment horizontal="left" vertical="center" wrapText="1"/>
    </xf>
    <xf numFmtId="0" fontId="0" fillId="0" borderId="39" xfId="0" applyBorder="1"/>
    <xf numFmtId="0" fontId="13" fillId="2" borderId="1" xfId="0" applyFont="1" applyFill="1" applyBorder="1" applyAlignment="1">
      <alignment horizontal="center" vertical="center" wrapText="1"/>
    </xf>
    <xf numFmtId="0" fontId="9" fillId="2" borderId="0" xfId="0" applyFont="1" applyFill="1" applyAlignment="1">
      <alignment horizontal="left" vertical="center"/>
    </xf>
    <xf numFmtId="0" fontId="21" fillId="4" borderId="1" xfId="0" applyFont="1" applyFill="1" applyBorder="1" applyAlignment="1">
      <alignment horizontal="left" vertical="center" wrapText="1"/>
    </xf>
    <xf numFmtId="0" fontId="8" fillId="5" borderId="0" xfId="0" applyFont="1" applyFill="1" applyAlignment="1">
      <alignment horizontal="left" vertical="center" wrapText="1"/>
    </xf>
    <xf numFmtId="0" fontId="47" fillId="4" borderId="1" xfId="0" applyFont="1" applyFill="1" applyBorder="1" applyAlignment="1">
      <alignment horizontal="left" vertical="center" wrapText="1"/>
    </xf>
    <xf numFmtId="0" fontId="46" fillId="4"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3" fillId="0" borderId="0" xfId="0" applyFont="1" applyAlignment="1">
      <alignment horizontal="left" vertical="center" wrapText="1"/>
    </xf>
    <xf numFmtId="0" fontId="3" fillId="4"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44" fillId="7"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3" borderId="38" xfId="0" applyFont="1" applyFill="1" applyBorder="1" applyAlignment="1">
      <alignment horizontal="right" vertical="center"/>
    </xf>
    <xf numFmtId="0" fontId="0" fillId="0" borderId="38" xfId="0" applyBorder="1"/>
    <xf numFmtId="0" fontId="21" fillId="4" borderId="1" xfId="0" applyFont="1" applyFill="1" applyBorder="1" applyAlignment="1">
      <alignment horizontal="center" vertical="center" wrapText="1"/>
    </xf>
    <xf numFmtId="0" fontId="48" fillId="3" borderId="1" xfId="0" applyFont="1" applyFill="1" applyBorder="1" applyAlignment="1">
      <alignment horizontal="center" vertical="center" wrapText="1"/>
    </xf>
    <xf numFmtId="0" fontId="14" fillId="4" borderId="1"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22" fillId="0" borderId="0" xfId="0" applyFont="1" applyAlignment="1">
      <alignment horizontal="left" vertical="center"/>
    </xf>
    <xf numFmtId="0" fontId="2" fillId="2" borderId="0" xfId="0" applyFont="1" applyFill="1" applyAlignment="1">
      <alignment horizontal="left" vertical="center" wrapText="1"/>
    </xf>
    <xf numFmtId="0" fontId="48" fillId="3" borderId="0" xfId="0" applyFont="1" applyFill="1" applyAlignment="1">
      <alignment horizontal="left" vertical="center"/>
    </xf>
    <xf numFmtId="0" fontId="7" fillId="0" borderId="0" xfId="0" applyFont="1" applyAlignment="1">
      <alignment horizontal="left" vertical="center" wrapText="1"/>
    </xf>
    <xf numFmtId="0" fontId="16" fillId="3" borderId="0" xfId="0" applyFont="1" applyFill="1" applyAlignment="1">
      <alignment horizontal="left" vertical="center"/>
    </xf>
    <xf numFmtId="0" fontId="1" fillId="2" borderId="0" xfId="0" applyFont="1" applyFill="1" applyAlignment="1">
      <alignment horizontal="center" vertical="center"/>
    </xf>
    <xf numFmtId="0" fontId="5" fillId="4" borderId="1" xfId="0" applyFont="1" applyFill="1" applyBorder="1" applyAlignment="1">
      <alignment horizontal="center" vertical="center" wrapText="1"/>
    </xf>
    <xf numFmtId="0" fontId="24" fillId="10" borderId="6" xfId="0" applyFont="1" applyFill="1" applyBorder="1" applyAlignment="1">
      <alignment horizontal="left" vertical="center" indent="1"/>
    </xf>
    <xf numFmtId="0" fontId="0" fillId="0" borderId="30" xfId="0" applyBorder="1"/>
    <xf numFmtId="0" fontId="0" fillId="0" borderId="31" xfId="0" applyBorder="1"/>
    <xf numFmtId="0" fontId="25" fillId="15" borderId="14" xfId="0" applyFont="1" applyFill="1" applyBorder="1" applyAlignment="1">
      <alignment horizontal="center" vertical="center" wrapText="1"/>
    </xf>
    <xf numFmtId="0" fontId="0" fillId="0" borderId="44" xfId="0" applyBorder="1"/>
    <xf numFmtId="0" fontId="25" fillId="17" borderId="14" xfId="0" applyFont="1" applyFill="1" applyBorder="1" applyAlignment="1">
      <alignment horizontal="center" vertical="center" wrapText="1"/>
    </xf>
    <xf numFmtId="0" fontId="26" fillId="18" borderId="17" xfId="0" applyFont="1" applyFill="1" applyBorder="1" applyAlignment="1">
      <alignment horizontal="left" vertical="center" wrapText="1" indent="1"/>
    </xf>
    <xf numFmtId="0" fontId="0" fillId="0" borderId="13" xfId="0" applyBorder="1"/>
    <xf numFmtId="0" fontId="26" fillId="16" borderId="15" xfId="0" applyFont="1" applyFill="1" applyBorder="1" applyAlignment="1">
      <alignment horizontal="center" vertical="center" wrapText="1"/>
    </xf>
    <xf numFmtId="0" fontId="0" fillId="0" borderId="12" xfId="0" applyBorder="1"/>
    <xf numFmtId="0" fontId="25" fillId="11" borderId="14" xfId="0" applyFont="1" applyFill="1" applyBorder="1" applyAlignment="1">
      <alignment horizontal="left" vertical="center" wrapText="1" indent="1"/>
    </xf>
    <xf numFmtId="0" fontId="26" fillId="16" borderId="15" xfId="0" applyFont="1" applyFill="1" applyBorder="1" applyAlignment="1">
      <alignment horizontal="left" vertical="center" wrapText="1" indent="1"/>
    </xf>
    <xf numFmtId="0" fontId="25" fillId="17" borderId="24" xfId="0" applyFont="1" applyFill="1" applyBorder="1" applyAlignment="1">
      <alignment horizontal="center" vertical="center" wrapText="1"/>
    </xf>
    <xf numFmtId="0" fontId="25" fillId="17" borderId="27" xfId="0" applyFont="1" applyFill="1" applyBorder="1" applyAlignment="1">
      <alignment horizontal="center" vertical="center" wrapText="1"/>
    </xf>
    <xf numFmtId="0" fontId="0" fillId="0" borderId="41" xfId="0" applyBorder="1"/>
    <xf numFmtId="0" fontId="26" fillId="10" borderId="15" xfId="0" applyFont="1" applyFill="1" applyBorder="1" applyAlignment="1">
      <alignment horizontal="center" vertical="center" wrapText="1"/>
    </xf>
    <xf numFmtId="0" fontId="23" fillId="8" borderId="0" xfId="0" applyFont="1" applyFill="1" applyAlignment="1">
      <alignment horizontal="left" vertical="center" indent="1"/>
    </xf>
    <xf numFmtId="0" fontId="26" fillId="18" borderId="11" xfId="0" applyFont="1" applyFill="1" applyBorder="1" applyAlignment="1">
      <alignment horizontal="left" vertical="center" wrapText="1" indent="1"/>
    </xf>
    <xf numFmtId="0" fontId="0" fillId="0" borderId="16" xfId="0" applyBorder="1"/>
    <xf numFmtId="0" fontId="25" fillId="15" borderId="20" xfId="0" applyFont="1" applyFill="1" applyBorder="1" applyAlignment="1">
      <alignment horizontal="center" vertical="center" wrapText="1"/>
    </xf>
    <xf numFmtId="0" fontId="0" fillId="0" borderId="32" xfId="0" applyBorder="1"/>
    <xf numFmtId="0" fontId="26" fillId="12" borderId="8" xfId="0" applyFont="1" applyFill="1" applyBorder="1" applyAlignment="1">
      <alignment horizontal="left" vertical="center" wrapText="1" indent="1"/>
    </xf>
    <xf numFmtId="0" fontId="0" fillId="0" borderId="43" xfId="0" applyBorder="1"/>
    <xf numFmtId="0" fontId="26" fillId="16" borderId="21" xfId="0" applyFont="1" applyFill="1" applyBorder="1" applyAlignment="1">
      <alignment horizontal="center" vertical="center" wrapText="1"/>
    </xf>
    <xf numFmtId="0" fontId="0" fillId="0" borderId="22" xfId="0" applyBorder="1"/>
    <xf numFmtId="0" fontId="26" fillId="12" borderId="15" xfId="0" applyFont="1" applyFill="1" applyBorder="1" applyAlignment="1">
      <alignment horizontal="left" vertical="center" wrapText="1" indent="1"/>
    </xf>
    <xf numFmtId="0" fontId="26" fillId="18" borderId="25" xfId="0" applyFont="1" applyFill="1" applyBorder="1" applyAlignment="1">
      <alignment horizontal="left" vertical="center" wrapText="1" indent="1"/>
    </xf>
    <xf numFmtId="0" fontId="25" fillId="19" borderId="14" xfId="0" applyFont="1" applyFill="1" applyBorder="1" applyAlignment="1">
      <alignment horizontal="center" vertical="center" wrapText="1"/>
    </xf>
    <xf numFmtId="0" fontId="25" fillId="11" borderId="7" xfId="0" applyFont="1" applyFill="1" applyBorder="1" applyAlignment="1">
      <alignment horizontal="left" vertical="center" wrapText="1" indent="1"/>
    </xf>
    <xf numFmtId="0" fontId="0" fillId="0" borderId="42" xfId="0" applyBorder="1"/>
    <xf numFmtId="0" fontId="24" fillId="3" borderId="0" xfId="0" applyFont="1" applyFill="1" applyAlignment="1">
      <alignment horizontal="left" vertical="center" indent="1"/>
    </xf>
    <xf numFmtId="0" fontId="30" fillId="6" borderId="1" xfId="0" applyFont="1" applyFill="1" applyBorder="1" applyAlignment="1">
      <alignment horizontal="left" vertical="center" wrapText="1" indent="1"/>
    </xf>
    <xf numFmtId="0" fontId="24" fillId="20" borderId="0" xfId="0" applyFont="1" applyFill="1" applyAlignment="1">
      <alignment horizontal="left" vertical="center" indent="1"/>
    </xf>
    <xf numFmtId="0" fontId="29" fillId="0" borderId="0" xfId="0" applyFont="1" applyAlignment="1">
      <alignment horizontal="left" vertical="center" indent="1"/>
    </xf>
    <xf numFmtId="0" fontId="32" fillId="22" borderId="0" xfId="0" applyFont="1" applyFill="1" applyAlignment="1">
      <alignment horizontal="center" vertical="center"/>
    </xf>
    <xf numFmtId="0" fontId="31" fillId="0" borderId="0" xfId="0" applyFont="1" applyAlignment="1">
      <alignment wrapText="1"/>
    </xf>
    <xf numFmtId="0" fontId="31" fillId="0" borderId="0" xfId="0" applyFont="1"/>
    <xf numFmtId="0" fontId="33" fillId="22" borderId="0" xfId="0" applyFont="1" applyFill="1" applyAlignment="1">
      <alignment horizontal="center" vertical="center"/>
    </xf>
    <xf numFmtId="0" fontId="42" fillId="0" borderId="1" xfId="0" applyFont="1" applyBorder="1" applyAlignment="1">
      <alignment horizontal="left" vertical="center" wrapText="1"/>
    </xf>
    <xf numFmtId="0" fontId="39" fillId="8" borderId="0" xfId="0" applyFont="1" applyFill="1" applyAlignment="1">
      <alignment horizontal="left" vertical="center"/>
    </xf>
    <xf numFmtId="0" fontId="34" fillId="9" borderId="1" xfId="0" applyFont="1" applyFill="1" applyBorder="1" applyAlignment="1">
      <alignment horizontal="center" vertical="center" wrapText="1"/>
    </xf>
  </cellXfs>
  <cellStyles count="1">
    <cellStyle name="Normal" xfId="0" builtinId="0"/>
  </cellStyles>
  <dxfs count="66">
    <dxf>
      <font>
        <b/>
        <color rgb="FF276A3C"/>
      </font>
      <fill>
        <patternFill>
          <bgColor rgb="FFE2EFDA"/>
        </patternFill>
      </fill>
    </dxf>
    <dxf>
      <font>
        <color rgb="FFFFFFFF"/>
      </font>
      <fill>
        <patternFill>
          <bgColor rgb="FFFFFFFF"/>
        </patternFill>
      </fill>
    </dxf>
    <dxf>
      <font>
        <b/>
        <color rgb="FF9C0006"/>
      </font>
      <fill>
        <patternFill>
          <bgColor rgb="FFFCE4D6"/>
        </patternFill>
      </fill>
    </dxf>
    <dxf>
      <font>
        <b/>
        <color rgb="FF1F4E78"/>
      </font>
      <fill>
        <patternFill>
          <bgColor rgb="FFDDEBF7"/>
        </patternFill>
      </fill>
    </dxf>
    <dxf>
      <font>
        <b/>
        <color rgb="FF833C0C"/>
      </font>
      <fill>
        <patternFill>
          <bgColor rgb="FFFFF2CC"/>
        </patternFill>
      </fill>
    </dxf>
    <dxf>
      <font>
        <b/>
        <color rgb="FF276A3C"/>
      </font>
      <fill>
        <patternFill>
          <bgColor rgb="FFE2EFDA"/>
        </patternFill>
      </fill>
    </dxf>
    <dxf>
      <font>
        <b/>
        <color rgb="FF7F6000"/>
      </font>
      <fill>
        <patternFill>
          <bgColor rgb="FFFFF2CC"/>
        </patternFill>
      </fill>
    </dxf>
    <dxf>
      <font>
        <b/>
        <color rgb="FF375623"/>
      </font>
      <fill>
        <patternFill>
          <bgColor rgb="FFE2EFDA"/>
        </patternFill>
      </fill>
    </dxf>
    <dxf>
      <font>
        <color rgb="FF808080"/>
      </font>
      <fill>
        <patternFill>
          <bgColor rgb="FFF2F2F2"/>
        </patternFill>
      </fill>
    </dxf>
    <dxf>
      <font>
        <b/>
        <color rgb="FF7F6000"/>
      </font>
      <fill>
        <patternFill>
          <bgColor rgb="FFFFF2CC"/>
        </patternFill>
      </fill>
    </dxf>
    <dxf>
      <font>
        <b/>
        <color rgb="FF9C0006"/>
      </font>
      <fill>
        <patternFill>
          <bgColor rgb="FFFCE4D6"/>
        </patternFill>
      </fill>
    </dxf>
    <dxf>
      <font>
        <b/>
        <color rgb="FF7F6000"/>
      </font>
      <fill>
        <patternFill>
          <bgColor rgb="FFFFF2CC"/>
        </patternFill>
      </fill>
    </dxf>
    <dxf>
      <font>
        <color rgb="FF808080"/>
      </font>
      <fill>
        <patternFill>
          <bgColor rgb="FFF2F2F2"/>
        </patternFill>
      </fill>
    </dxf>
    <dxf>
      <font>
        <b/>
        <color rgb="FF375623"/>
      </font>
      <fill>
        <patternFill>
          <bgColor rgb="FFE2EFDA"/>
        </patternFill>
      </fill>
    </dxf>
    <dxf>
      <font>
        <b/>
        <color rgb="FF7F6000"/>
      </font>
      <fill>
        <patternFill>
          <bgColor rgb="FFFFF2CC"/>
        </patternFill>
      </fill>
    </dxf>
    <dxf>
      <font>
        <b/>
        <color rgb="FF9C0006"/>
      </font>
      <fill>
        <patternFill>
          <bgColor rgb="FFFCE4D6"/>
        </patternFill>
      </fill>
    </dxf>
    <dxf>
      <font>
        <color rgb="FF808080"/>
      </font>
      <fill>
        <patternFill>
          <bgColor rgb="FFF2F2F2"/>
        </patternFill>
      </fill>
    </dxf>
    <dxf>
      <font>
        <b/>
        <color rgb="FF9C0006"/>
      </font>
      <fill>
        <patternFill>
          <bgColor rgb="FFFCE4D6"/>
        </patternFill>
      </fill>
    </dxf>
    <dxf>
      <font>
        <b/>
        <color rgb="FF7F6000"/>
      </font>
      <fill>
        <patternFill>
          <bgColor rgb="FFFFF2CC"/>
        </patternFill>
      </fill>
    </dxf>
    <dxf>
      <font>
        <b/>
        <color rgb="FF375623"/>
      </font>
      <fill>
        <patternFill>
          <bgColor rgb="FFE2EFDA"/>
        </patternFill>
      </fill>
    </dxf>
    <dxf>
      <font>
        <b/>
        <color rgb="FF7F6000"/>
      </font>
      <fill>
        <patternFill>
          <bgColor rgb="FFFFF2CC"/>
        </patternFill>
      </fill>
    </dxf>
    <dxf>
      <font>
        <color rgb="FF808080"/>
      </font>
      <fill>
        <patternFill>
          <bgColor rgb="FFF2F2F2"/>
        </patternFill>
      </fill>
    </dxf>
    <dxf>
      <font>
        <b/>
        <color rgb="FF375623"/>
      </font>
      <fill>
        <patternFill>
          <bgColor rgb="FFE2EFDA"/>
        </patternFill>
      </fill>
    </dxf>
    <dxf>
      <font>
        <b/>
        <color rgb="FF7F6000"/>
      </font>
      <fill>
        <patternFill>
          <bgColor rgb="FFFFF2CC"/>
        </patternFill>
      </fill>
    </dxf>
    <dxf>
      <font>
        <b/>
        <color rgb="FF9C0006"/>
      </font>
      <fill>
        <patternFill>
          <bgColor rgb="FFFCE4D6"/>
        </patternFill>
      </fill>
    </dxf>
    <dxf>
      <font>
        <b/>
        <color rgb="FF9C0006"/>
      </font>
      <fill>
        <patternFill>
          <bgColor rgb="FFFDF1EC"/>
        </patternFill>
      </fill>
    </dxf>
    <dxf>
      <font>
        <b/>
        <color rgb="FF375623"/>
      </font>
      <fill>
        <patternFill>
          <bgColor rgb="FFE2EFDA"/>
        </patternFill>
      </fill>
    </dxf>
    <dxf>
      <font>
        <b/>
        <color rgb="FF7F6000"/>
      </font>
      <fill>
        <patternFill>
          <bgColor rgb="FFFFF2CC"/>
        </patternFill>
      </fill>
    </dxf>
    <dxf>
      <font>
        <b/>
        <color rgb="FF9C0006"/>
      </font>
      <fill>
        <patternFill>
          <bgColor rgb="FFFCE4D6"/>
        </patternFill>
      </fill>
    </dxf>
    <dxf>
      <font>
        <b/>
        <color rgb="FF9C0006"/>
      </font>
      <fill>
        <patternFill>
          <bgColor rgb="FFFCE4D6"/>
        </patternFill>
      </fill>
    </dxf>
    <dxf>
      <font>
        <b/>
        <color rgb="FF375623"/>
      </font>
      <fill>
        <patternFill>
          <bgColor rgb="FFE2EFDA"/>
        </patternFill>
      </fill>
    </dxf>
    <dxf>
      <font>
        <b/>
        <color rgb="FF7F6000"/>
      </font>
      <fill>
        <patternFill>
          <bgColor rgb="FFFFF2CC"/>
        </patternFill>
      </fill>
    </dxf>
    <dxf>
      <font>
        <b/>
        <color rgb="FF9C0006"/>
      </font>
      <fill>
        <patternFill>
          <bgColor rgb="FFFCE4D6"/>
        </patternFill>
      </fill>
    </dxf>
    <dxf>
      <font>
        <b/>
        <color rgb="FF7F6000"/>
      </font>
      <fill>
        <patternFill>
          <bgColor rgb="FFFFF2CC"/>
        </patternFill>
      </fill>
    </dxf>
    <dxf>
      <font>
        <b/>
        <color rgb="FF375623"/>
      </font>
      <fill>
        <patternFill>
          <bgColor rgb="FFE2EFDA"/>
        </patternFill>
      </fill>
    </dxf>
    <dxf>
      <font>
        <color rgb="FF808080"/>
      </font>
      <fill>
        <patternFill>
          <bgColor rgb="FFF2F2F2"/>
        </patternFill>
      </fill>
    </dxf>
    <dxf>
      <font>
        <b/>
        <color rgb="FF7F6000"/>
      </font>
      <fill>
        <patternFill>
          <bgColor rgb="FFFFF2CC"/>
        </patternFill>
      </fill>
    </dxf>
    <dxf>
      <font>
        <b/>
        <color rgb="FF9C0006"/>
      </font>
      <fill>
        <patternFill>
          <bgColor rgb="FFFCE4D6"/>
        </patternFill>
      </fill>
    </dxf>
    <dxf>
      <font>
        <color rgb="FF808080"/>
      </font>
      <fill>
        <patternFill>
          <bgColor rgb="FFF2F2F2"/>
        </patternFill>
      </fill>
    </dxf>
    <dxf>
      <font>
        <b/>
        <color rgb="FF375623"/>
      </font>
      <fill>
        <patternFill>
          <bgColor rgb="FFE2EFDA"/>
        </patternFill>
      </fill>
    </dxf>
    <dxf>
      <font>
        <b/>
        <color rgb="FF7F6000"/>
      </font>
      <fill>
        <patternFill>
          <bgColor rgb="FFFFF2CC"/>
        </patternFill>
      </fill>
    </dxf>
    <dxf>
      <font>
        <color rgb="FF808080"/>
      </font>
      <fill>
        <patternFill>
          <bgColor rgb="FFF2F2F2"/>
        </patternFill>
      </fill>
    </dxf>
    <dxf>
      <font>
        <b/>
        <color rgb="FF7F6000"/>
      </font>
      <fill>
        <patternFill>
          <bgColor rgb="FFFFF2CC"/>
        </patternFill>
      </fill>
    </dxf>
    <dxf>
      <font>
        <b/>
        <color rgb="FF5B3F8C"/>
      </font>
      <fill>
        <patternFill>
          <bgColor rgb="FFEDE7F6"/>
        </patternFill>
      </fill>
    </dxf>
    <dxf>
      <font>
        <b/>
        <color rgb="FF375623"/>
      </font>
      <fill>
        <patternFill>
          <bgColor rgb="FFE2EFDA"/>
        </patternFill>
      </fill>
    </dxf>
    <dxf>
      <font>
        <b/>
        <color rgb="FF9C0006"/>
      </font>
      <fill>
        <patternFill>
          <bgColor rgb="FFFCE4D6"/>
        </patternFill>
      </fill>
    </dxf>
    <dxf>
      <fill>
        <patternFill>
          <bgColor rgb="FFF2F5F9"/>
        </patternFill>
      </fill>
      <border>
        <left style="thin">
          <color rgb="FFD9D9D9"/>
        </left>
        <right style="thin">
          <color rgb="FFD9D9D9"/>
        </right>
        <top style="thin">
          <color rgb="FFD9D9D9"/>
        </top>
        <bottom style="thin">
          <color rgb="FFD9D9D9"/>
        </bottom>
      </border>
    </dxf>
    <dxf>
      <fill>
        <patternFill>
          <bgColor rgb="FFFFFFFF"/>
        </patternFill>
      </fill>
      <border>
        <left style="thin">
          <color rgb="FFD9D9D9"/>
        </left>
        <right style="thin">
          <color rgb="FFD9D9D9"/>
        </right>
        <top style="thin">
          <color rgb="FFD9D9D9"/>
        </top>
        <bottom style="thin">
          <color rgb="FFD9D9D9"/>
        </bottom>
      </border>
    </dxf>
    <dxf>
      <font>
        <b/>
        <color rgb="FF5B3F8C"/>
      </font>
      <fill>
        <patternFill>
          <bgColor rgb="FFEDE7F6"/>
        </patternFill>
      </fill>
    </dxf>
    <dxf>
      <font>
        <b/>
        <color rgb="FF375623"/>
      </font>
      <fill>
        <patternFill>
          <bgColor rgb="FFE2EFDA"/>
        </patternFill>
      </fill>
    </dxf>
    <dxf>
      <font>
        <b/>
        <color rgb="FF9C0006"/>
      </font>
      <fill>
        <patternFill>
          <bgColor rgb="FFFCE4D6"/>
        </patternFill>
      </fill>
    </dxf>
    <dxf>
      <font>
        <b/>
        <color rgb="FF7F6000"/>
      </font>
      <fill>
        <patternFill>
          <bgColor rgb="FFFFF2CC"/>
        </patternFill>
      </fill>
    </dxf>
    <dxf>
      <font>
        <color rgb="FF808080"/>
      </font>
      <fill>
        <patternFill>
          <bgColor rgb="FFF2F2F2"/>
        </patternFill>
      </fill>
    </dxf>
    <dxf>
      <font>
        <color rgb="FF808080"/>
      </font>
      <fill>
        <patternFill>
          <bgColor rgb="FFF2F2F2"/>
        </patternFill>
      </fill>
    </dxf>
    <dxf>
      <font>
        <b/>
        <color rgb="FF375623"/>
      </font>
      <fill>
        <patternFill>
          <bgColor rgb="FFE2EFDA"/>
        </patternFill>
      </fill>
    </dxf>
    <dxf>
      <font>
        <b/>
        <color rgb="FF7F6000"/>
      </font>
      <fill>
        <patternFill>
          <bgColor rgb="FFFFF2CC"/>
        </patternFill>
      </fill>
    </dxf>
    <dxf>
      <font>
        <b/>
        <color rgb="FF9C0006"/>
      </font>
      <fill>
        <patternFill>
          <bgColor rgb="FFFCE4D6"/>
        </patternFill>
      </fill>
    </dxf>
    <dxf>
      <font>
        <b/>
        <color rgb="FF9C0006"/>
      </font>
      <fill>
        <patternFill>
          <bgColor rgb="FFFCE4D6"/>
        </patternFill>
      </fill>
    </dxf>
    <dxf>
      <font>
        <b/>
        <color rgb="FF9C0006"/>
      </font>
      <fill>
        <patternFill>
          <bgColor rgb="FFFCE4D6"/>
        </patternFill>
      </fill>
    </dxf>
    <dxf>
      <font>
        <b/>
        <color rgb="FF375623"/>
      </font>
      <fill>
        <patternFill>
          <bgColor rgb="FFE2EFDA"/>
        </patternFill>
      </fill>
    </dxf>
    <dxf>
      <font>
        <b/>
        <color rgb="FF9C0006"/>
      </font>
      <fill>
        <patternFill>
          <bgColor rgb="FFFDF1EC"/>
        </patternFill>
      </fill>
    </dxf>
    <dxf>
      <font>
        <b/>
        <color rgb="FF7F6000"/>
      </font>
      <fill>
        <patternFill>
          <bgColor rgb="FFFFF2CC"/>
        </patternFill>
      </fill>
    </dxf>
    <dxf>
      <font>
        <color rgb="FF808080"/>
      </font>
      <fill>
        <patternFill>
          <bgColor rgb="FFF2F2F2"/>
        </patternFill>
      </fill>
    </dxf>
    <dxf>
      <font>
        <b/>
        <color rgb="FF7F6000"/>
      </font>
      <fill>
        <patternFill>
          <bgColor rgb="FFFFF2CC"/>
        </patternFill>
      </fill>
    </dxf>
    <dxf>
      <font>
        <b/>
        <color rgb="FF9C0006"/>
      </font>
      <fill>
        <patternFill>
          <bgColor rgb="FFFCE4D6"/>
        </patternFill>
      </fill>
    </dxf>
    <dxf>
      <font>
        <b/>
        <color rgb="FF375623"/>
      </font>
      <fill>
        <patternFill>
          <bgColor rgb="FFE2EFDA"/>
        </patternFill>
      </fill>
    </dxf>
  </dxfs>
  <tableStyles count="0" defaultTableStyle="TableStyleMedium2" defaultPivotStyle="PivotStyleLight16"/>
  <colors>
    <indexedColors>
      <rgbColor rgb="FF000000"/>
      <rgbColor rgb="FFFFFFFF"/>
      <rgbColor rgb="FFFF0000"/>
      <rgbColor rgb="FFEDF7ED"/>
      <rgbColor rgb="FF0000FF"/>
      <rgbColor rgb="FFFCE4D6"/>
      <rgbColor rgb="FFFDF1EC"/>
      <rgbColor rgb="FFDCE6F2"/>
      <rgbColor rgb="FF9C0006"/>
      <rgbColor rgb="FF276A3C"/>
      <rgbColor rgb="FF111111"/>
      <rgbColor rgb="FF7F6000"/>
      <rgbColor rgb="FFF2F4F8"/>
      <rgbColor rgb="FF1F4E79"/>
      <rgbColor rgb="FFB9CDE5"/>
      <rgbColor rgb="FF808080"/>
      <rgbColor rgb="FFD9DEE7"/>
      <rgbColor rgb="FF375623"/>
      <rgbColor rgb="FFFFF2CC"/>
      <rgbColor rgb="FFE3F2FD"/>
      <rgbColor rgb="FF660066"/>
      <rgbColor rgb="FFF2DCDB"/>
      <rgbColor rgb="FF2F5597"/>
      <rgbColor rgb="FFC6D9E8"/>
      <rgbColor rgb="FF000080"/>
      <rgbColor rgb="FFF7F3E9"/>
      <rgbColor rgb="FFEBF1DE"/>
      <rgbColor rgb="FFEBF3F5"/>
      <rgbColor rgb="FFF2F5F9"/>
      <rgbColor rgb="FF800000"/>
      <rgbColor rgb="FF1F4E78"/>
      <rgbColor rgb="FF0000FF"/>
      <rgbColor rgb="FFEDE7F6"/>
      <rgbColor rgb="FFDDEBF7"/>
      <rgbColor rgb="FFE2EFDA"/>
      <rgbColor rgb="FFFDEADA"/>
      <rgbColor rgb="FFD0D7DE"/>
      <rgbColor rgb="FFE6B9B8"/>
      <rgbColor rgb="FFD9D9D9"/>
      <rgbColor rgb="FFFCD5B5"/>
      <rgbColor rgb="FF2F5496"/>
      <rgbColor rgb="FFD9E1F2"/>
      <rgbColor rgb="FFC3D69B"/>
      <rgbColor rgb="FFFFC000"/>
      <rgbColor rgb="FFE0E6ED"/>
      <rgbColor rgb="FFF3E5F5"/>
      <rgbColor rgb="FF595959"/>
      <rgbColor rgb="FF7F7F7F"/>
      <rgbColor rgb="FF1B365D"/>
      <rgbColor rgb="FF3A536B"/>
      <rgbColor rgb="FF222222"/>
      <rgbColor rgb="FF262626"/>
      <rgbColor rgb="FF833C0C"/>
      <rgbColor rgb="FFF2F2F2"/>
      <rgbColor rgb="FF5B3F8C"/>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401207F-C73D-41D3-86F7-1DCBF129AFA6}">
  <we:reference id="WA200009404" version="1.0.0.8" store="Omex" storeType="OMEX"/>
  <we:alternateReferences>
    <we:reference id="WA200009404" version="1.0.0.8" store="WA200009404" storeType="OMEX"/>
  </we:alternateReferences>
  <we:properties>
    <we:property name="claude.fileId" value="&quot;372af573-1ff5-4880-8bd3-154328271cd7&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2"/>
  <sheetViews>
    <sheetView zoomScale="110" zoomScaleNormal="100" workbookViewId="0">
      <selection activeCell="H4" sqref="H4"/>
    </sheetView>
  </sheetViews>
  <sheetFormatPr defaultRowHeight="14.4" x14ac:dyDescent="0.3"/>
  <cols>
    <col min="2" max="2" width="115.88671875" customWidth="1"/>
  </cols>
  <sheetData>
    <row r="2" spans="2:2" ht="237.6" customHeight="1" x14ac:dyDescent="0.3">
      <c r="B2" s="128" t="s">
        <v>192</v>
      </c>
    </row>
    <row r="4" spans="2:2" ht="146.4" customHeight="1" x14ac:dyDescent="0.3">
      <c r="B4" s="128" t="s">
        <v>193</v>
      </c>
    </row>
    <row r="6" spans="2:2" ht="147.6" customHeight="1" x14ac:dyDescent="0.3">
      <c r="B6" s="128" t="s">
        <v>194</v>
      </c>
    </row>
    <row r="8" spans="2:2" ht="147.6" customHeight="1" x14ac:dyDescent="0.3">
      <c r="B8" s="128" t="s">
        <v>195</v>
      </c>
    </row>
    <row r="10" spans="2:2" ht="141.6" customHeight="1" x14ac:dyDescent="0.3">
      <c r="B10" s="128" t="s">
        <v>196</v>
      </c>
    </row>
    <row r="12" spans="2:2" ht="145.19999999999999" customHeight="1" x14ac:dyDescent="0.3">
      <c r="B12" s="128" t="s">
        <v>197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pageSetUpPr fitToPage="1"/>
  </sheetPr>
  <dimension ref="B1:Z90"/>
  <sheetViews>
    <sheetView showGridLines="0" zoomScale="94" zoomScaleNormal="85" workbookViewId="0">
      <pane ySplit="3" topLeftCell="A6" activePane="bottomLeft" state="frozen"/>
      <selection pane="bottomLeft" activeCell="S11" sqref="S11"/>
    </sheetView>
  </sheetViews>
  <sheetFormatPr defaultColWidth="8.6640625" defaultRowHeight="14.4" outlineLevelCol="1" x14ac:dyDescent="0.3"/>
  <cols>
    <col min="1" max="1" width="3.44140625" customWidth="1"/>
    <col min="2" max="13" width="20.44140625" customWidth="1"/>
    <col min="14" max="14" width="2" customWidth="1"/>
    <col min="15" max="15" width="4" customWidth="1"/>
    <col min="16" max="16" width="24" hidden="1" customWidth="1" outlineLevel="1"/>
    <col min="17" max="17" width="16" hidden="1" customWidth="1" outlineLevel="1"/>
    <col min="18" max="18" width="70" hidden="1" customWidth="1" outlineLevel="1"/>
    <col min="19" max="19" width="8.88671875" customWidth="1" collapsed="1"/>
  </cols>
  <sheetData>
    <row r="1" spans="2:26" ht="51.75" customHeight="1" x14ac:dyDescent="0.3">
      <c r="B1" s="165" t="s">
        <v>0</v>
      </c>
      <c r="C1" s="137"/>
      <c r="D1" s="137"/>
      <c r="E1" s="137"/>
      <c r="F1" s="137"/>
      <c r="G1" s="137"/>
      <c r="H1" s="137"/>
      <c r="I1" s="137"/>
      <c r="J1" s="137"/>
      <c r="K1" s="137"/>
      <c r="L1" s="137"/>
      <c r="M1" s="137"/>
      <c r="P1" s="161" t="s">
        <v>1</v>
      </c>
      <c r="Q1" s="137"/>
      <c r="R1" s="137"/>
      <c r="Z1">
        <v>2</v>
      </c>
    </row>
    <row r="2" spans="2:26" ht="25.2" hidden="1" customHeight="1" x14ac:dyDescent="0.3">
      <c r="B2" s="136" t="s">
        <v>2</v>
      </c>
      <c r="C2" s="137"/>
      <c r="D2" s="137"/>
      <c r="E2" s="137"/>
      <c r="F2" s="137"/>
      <c r="G2" s="137"/>
      <c r="H2" s="137"/>
      <c r="I2" s="153" t="s">
        <v>3</v>
      </c>
      <c r="J2" s="154"/>
      <c r="K2" s="166" t="s">
        <v>4</v>
      </c>
      <c r="L2" s="132"/>
      <c r="M2" s="133"/>
      <c r="P2" s="129" t="s">
        <v>5</v>
      </c>
      <c r="Q2" s="130"/>
      <c r="R2" s="130"/>
      <c r="Z2">
        <v>2</v>
      </c>
    </row>
    <row r="3" spans="2:26" ht="19.2" hidden="1" customHeight="1" x14ac:dyDescent="0.3">
      <c r="B3" s="163" t="str">
        <f>IF(fa_RESET=1,"RESET IS ON: every result below is blanked and every measure tick is ignored. Set K2 back to LIVE to restore them, or clear Section A columns E and F and Section C column P to erase the data permanently.","")</f>
        <v/>
      </c>
      <c r="C3" s="137"/>
      <c r="D3" s="137"/>
      <c r="E3" s="137"/>
      <c r="F3" s="137"/>
      <c r="G3" s="137"/>
      <c r="H3" s="137"/>
      <c r="I3" s="137"/>
      <c r="J3" s="137"/>
      <c r="K3" s="137"/>
      <c r="L3" s="137"/>
      <c r="M3" s="137"/>
      <c r="P3" s="138" t="s">
        <v>6</v>
      </c>
      <c r="Q3" s="139"/>
      <c r="R3" s="139"/>
    </row>
    <row r="4" spans="2:26" ht="21.75" customHeight="1" x14ac:dyDescent="0.3">
      <c r="B4" s="141" t="s">
        <v>7</v>
      </c>
      <c r="C4" s="137"/>
      <c r="D4" s="137"/>
      <c r="E4" s="137"/>
      <c r="F4" s="137"/>
      <c r="G4" s="137"/>
      <c r="H4" s="137"/>
      <c r="I4" s="137"/>
      <c r="J4" s="137"/>
      <c r="K4" s="137"/>
      <c r="L4" s="137"/>
      <c r="M4" s="137"/>
      <c r="P4" s="1" t="s">
        <v>8</v>
      </c>
      <c r="Q4" s="2">
        <v>1.5</v>
      </c>
      <c r="R4" s="3" t="s">
        <v>9</v>
      </c>
    </row>
    <row r="5" spans="2:26" ht="15.75" customHeight="1" x14ac:dyDescent="0.3">
      <c r="B5" s="140" t="s">
        <v>10</v>
      </c>
      <c r="C5" s="132"/>
      <c r="D5" s="132"/>
      <c r="E5" s="132"/>
      <c r="F5" s="132"/>
      <c r="G5" s="132"/>
      <c r="H5" s="132"/>
      <c r="I5" s="132"/>
      <c r="J5" s="132"/>
      <c r="K5" s="132"/>
      <c r="L5" s="132"/>
      <c r="M5" s="133"/>
      <c r="P5" s="1" t="s">
        <v>11</v>
      </c>
      <c r="Q5" s="2">
        <v>4</v>
      </c>
      <c r="R5" s="3" t="s">
        <v>12</v>
      </c>
    </row>
    <row r="6" spans="2:26" ht="96" customHeight="1" x14ac:dyDescent="0.3">
      <c r="B6" s="134" t="str">
        <f>fa_MASTER</f>
        <v>Insufficient data</v>
      </c>
      <c r="C6" s="132"/>
      <c r="D6" s="132"/>
      <c r="E6" s="132"/>
      <c r="F6" s="132"/>
      <c r="G6" s="132"/>
      <c r="H6" s="132"/>
      <c r="I6" s="132"/>
      <c r="J6" s="132"/>
      <c r="K6" s="132"/>
      <c r="L6" s="132"/>
      <c r="M6" s="133"/>
      <c r="P6" s="1" t="s">
        <v>13</v>
      </c>
      <c r="Q6" s="2">
        <v>2</v>
      </c>
      <c r="R6" s="3" t="s">
        <v>14</v>
      </c>
    </row>
    <row r="7" spans="2:26" ht="18" customHeight="1" x14ac:dyDescent="0.3">
      <c r="B7" s="150" t="str">
        <f>IF(fa_MASTER="Insufficient data","Needs ECe (or EC1:5) and CROSS, SAR or ESP","ECe "&amp;ROUND(fa_ECe,1)&amp;"  |  "&amp;IF(fa_SOD="","CROSS/SAR/ESP not measured",IF(fa_SOD_src="ESP","SAR-eq.",fa_SOD_src)&amp;" "&amp;ROUND(fa_SOD,1))&amp;"  |  pH "&amp;IF(fa_pH="","n/a",ROUND(fa_pH,1)))</f>
        <v>Needs ECe (or EC1:5) and CROSS, SAR or ESP</v>
      </c>
      <c r="C7" s="132"/>
      <c r="D7" s="132"/>
      <c r="E7" s="132"/>
      <c r="F7" s="132"/>
      <c r="G7" s="132"/>
      <c r="H7" s="132"/>
      <c r="I7" s="132"/>
      <c r="J7" s="132"/>
      <c r="K7" s="132"/>
      <c r="L7" s="132"/>
      <c r="M7" s="133"/>
      <c r="P7" s="1" t="s">
        <v>15</v>
      </c>
      <c r="Q7" s="2">
        <v>13</v>
      </c>
      <c r="R7" s="3" t="s">
        <v>16</v>
      </c>
    </row>
    <row r="8" spans="2:26" ht="18" customHeight="1" x14ac:dyDescent="0.3">
      <c r="B8" s="149" t="str">
        <f>IF(AND(fa_SOD="",fa_RESET=0),IF(fa_SODIC=1,"Indicative only: pH above "&amp;ROUND(th_pHSOD,1)&amp;" suggests a sodic soil, but pH is not an official sodicity criterion. Measure CROSS, SAR or ESP to confirm.","Not possible to say whether the soil is sodic: CROSS, SAR or ESP is missing and "&amp;IF(fa_pH="","pH is not measured either.","pH "&amp;ROUND(fa_pH,1)&amp;" ("&amp;IF(fa_pH&lt;7.5,"acidic to neutral","slightly alkaline")&amp;") is not conclusive.")),IF(fa_MASTER="Insufficient data","[Complete the Priority 1 inputs]",IF(AND(fa_SODIC=0,ISNUMBER(fa_pH),fa_pH&gt;th_pHSOD),"Not sodic: the measured "&amp;fa_SOD_src&amp;" decides. pH "&amp;ROUND(fa_pH,1)&amp;" is unusually high for a non-sodic soil, so re-check the sample or lab result.",IF(fa_ANYFB=1,"(Screening level: based on fallback data)","[All metrics from Primary methods]"))))</f>
        <v>Not possible to say whether the soil is sodic: CROSS, SAR or ESP is missing and pH is not measured either.</v>
      </c>
      <c r="C8" s="132"/>
      <c r="D8" s="132"/>
      <c r="E8" s="132"/>
      <c r="F8" s="132"/>
      <c r="G8" s="132"/>
      <c r="H8" s="132"/>
      <c r="I8" s="132"/>
      <c r="J8" s="132"/>
      <c r="K8" s="132"/>
      <c r="L8" s="132"/>
      <c r="M8" s="133"/>
      <c r="P8" s="1" t="s">
        <v>17</v>
      </c>
      <c r="Q8" s="2">
        <v>9</v>
      </c>
      <c r="R8" s="3" t="s">
        <v>18</v>
      </c>
    </row>
    <row r="9" spans="2:26" ht="7.5" customHeight="1" x14ac:dyDescent="0.3">
      <c r="P9" s="1" t="s">
        <v>19</v>
      </c>
      <c r="Q9" s="2">
        <v>8.5</v>
      </c>
      <c r="R9" s="3" t="s">
        <v>20</v>
      </c>
    </row>
    <row r="10" spans="2:26" ht="28.8" customHeight="1" x14ac:dyDescent="0.3">
      <c r="B10" s="135" t="s">
        <v>21</v>
      </c>
      <c r="C10" s="132"/>
      <c r="D10" s="133"/>
      <c r="E10" s="135" t="s">
        <v>22</v>
      </c>
      <c r="F10" s="132"/>
      <c r="G10" s="133"/>
      <c r="H10" s="135" t="s">
        <v>23</v>
      </c>
      <c r="I10" s="132"/>
      <c r="J10" s="133"/>
      <c r="K10" s="135" t="s">
        <v>24</v>
      </c>
      <c r="L10" s="132"/>
      <c r="M10" s="133"/>
      <c r="P10" s="1" t="s">
        <v>25</v>
      </c>
      <c r="Q10" s="2">
        <v>7.8</v>
      </c>
      <c r="R10" s="3" t="s">
        <v>26</v>
      </c>
    </row>
    <row r="11" spans="2:26" ht="89.4" customHeight="1" x14ac:dyDescent="0.3">
      <c r="B11" s="146" t="str">
        <f>IF(fa_ECe="","NOT MEASURED",IF(fa_ECe&lt;th_ECeSLIGHT,"Non-saline",IF(fa_ECe&lt;th_SAL,"Slightly saline",IF(fa_ECe&lt;8,"Moderately saline",IF(fa_ECe&lt;=16,"Strongly saline","Very strongly saline")))))</f>
        <v>NOT MEASURED</v>
      </c>
      <c r="C11" s="132"/>
      <c r="D11" s="133"/>
      <c r="E11" s="146" t="str">
        <f>IF(fa_SOD="","NOT MEASURED",IF(fa_SOD_src="SAR",IF(fa_SOD&lt;13,"Non-Sodic","Sodic (Alkali)"),IF(fa_SOD_src="ESP",IF(fa_ESP&lt;15,"Non-Sodic",IF(fa_ESP&lt;=30,"Moderately Sodic","Severely Sodic")),IF(fa_SOD_src="CROSS",IF(fa_SOD&lt;13,"Non-Sodic",IF(fa_SOD&lt;=20,"Moderately Sodic","Severely Sodic")),"Unknown Class"))))</f>
        <v>NOT MEASURED</v>
      </c>
      <c r="F11" s="132"/>
      <c r="G11" s="133"/>
      <c r="H11" s="146" t="str">
        <f>IF(fa_ECw="","NOT MEASURED",IF(fa_ECw&lt;th_ECwLOW,"No restriction",IF(fa_ECw&lt;=th_ECwHIGH,"Slight to moderate restriction","Severe restriction")))</f>
        <v>NOT MEASURED</v>
      </c>
      <c r="I11" s="132"/>
      <c r="J11" s="133"/>
      <c r="K11" s="146" t="str">
        <f>IF(fa_GWD="","NOT MEASURED",IF(fa_GWD&gt;th_GW,"Safe depth",IF(fa_GWD&gt;=th_GWCRIT,"Moderate risk","Critical (waterlogged)")))</f>
        <v>NOT MEASURED</v>
      </c>
      <c r="L11" s="132"/>
      <c r="M11" s="133"/>
      <c r="P11" s="1" t="s">
        <v>27</v>
      </c>
      <c r="Q11" s="2">
        <v>0.15</v>
      </c>
      <c r="R11" s="3" t="s">
        <v>28</v>
      </c>
    </row>
    <row r="12" spans="2:26" ht="27.75" customHeight="1" x14ac:dyDescent="0.3">
      <c r="B12" s="149" t="str">
        <f>IF(fa_ECe_src="Primary","[Method: Primary ECe]",IF(fa_ECe_src="Fallback","[Fallback: EC1:5]  f = "&amp;ROUND(fa_FTEXT,1)&amp;" ("&amp;IF(fa_TEXTURE="","texture blank, loam assumed",fa_TEXTURE)&amp;")","[No input: enter ECe or EC1:5]"))</f>
        <v>[No input: enter ECe or EC1:5]</v>
      </c>
      <c r="C12" s="132"/>
      <c r="D12" s="133"/>
      <c r="E12" s="149" t="str">
        <f>IF(fa_SOD_src="CROSS","[Primary: CROSS]",IF(fa_SOD_src="SAR","[Fallback: SAR]",IF(fa_SOD_src="ESP","[Fallback: ESP]  converted to SAR-eq. (Richards 1954)","[No input: enter CROSS, SAR or ESP]")))</f>
        <v>[No input: enter CROSS, SAR or ESP]</v>
      </c>
      <c r="F12" s="132"/>
      <c r="G12" s="133"/>
      <c r="H12" s="149" t="str">
        <f>IF(fa_ECw_src="Primary","[Method: Primary ECw]",IF(fa_ECw_src="Fallback","[Fallback: TDS / "&amp;ROUND(th_TDS,0)&amp;"]","[No input: enter ECw or TDS]"))</f>
        <v>[No input: enter ECw or TDS]</v>
      </c>
      <c r="I12" s="132"/>
      <c r="J12" s="133"/>
      <c r="K12" s="149" t="str">
        <f>IF(fa_GWD="","[No input: enter groundwater depth]","[Method: Primary piezometer reading]")</f>
        <v>[No input: enter groundwater depth]</v>
      </c>
      <c r="L12" s="132"/>
      <c r="M12" s="133"/>
      <c r="P12" s="1" t="s">
        <v>29</v>
      </c>
      <c r="Q12" s="2">
        <v>1.5</v>
      </c>
      <c r="R12" s="3" t="s">
        <v>30</v>
      </c>
    </row>
    <row r="13" spans="2:26" ht="21.75" customHeight="1" x14ac:dyDescent="0.3">
      <c r="B13" s="156" t="s">
        <v>31</v>
      </c>
      <c r="C13" s="132"/>
      <c r="D13" s="133"/>
      <c r="E13" s="158" t="str">
        <f>IF(fa_pH="","NOT MEASURED",IF(fa_pH&lt;6.5,"Acidic",IF(fa_pH&lt;th_pHCALC,"Neutral / Optimal",IF(fa_pH&lt;=th_pHSOD,"Calcareous / Alkaline","Strongly Alkaline / Free Na2CO3"))))</f>
        <v>NOT MEASURED</v>
      </c>
      <c r="F13" s="132"/>
      <c r="G13" s="133"/>
      <c r="H13" s="152" t="s">
        <v>32</v>
      </c>
      <c r="I13" s="132"/>
      <c r="J13" s="132"/>
      <c r="K13" s="132"/>
      <c r="L13" s="132"/>
      <c r="M13" s="133"/>
      <c r="P13" s="1" t="s">
        <v>33</v>
      </c>
      <c r="Q13" s="2">
        <v>3</v>
      </c>
      <c r="R13" s="3" t="s">
        <v>34</v>
      </c>
    </row>
    <row r="14" spans="2:26" ht="9.75" customHeight="1" x14ac:dyDescent="0.3">
      <c r="P14" s="1" t="s">
        <v>35</v>
      </c>
      <c r="Q14" s="2">
        <v>1.25</v>
      </c>
      <c r="R14" s="3" t="s">
        <v>36</v>
      </c>
    </row>
    <row r="15" spans="2:26" ht="21.75" customHeight="1" x14ac:dyDescent="0.3">
      <c r="B15" s="141" t="s">
        <v>37</v>
      </c>
      <c r="C15" s="137"/>
      <c r="D15" s="137"/>
      <c r="E15" s="137"/>
      <c r="F15" s="137"/>
      <c r="G15" s="137"/>
      <c r="H15" s="137"/>
      <c r="I15" s="137"/>
      <c r="J15" s="137"/>
      <c r="K15" s="137"/>
      <c r="L15" s="137"/>
      <c r="M15" s="137"/>
      <c r="P15" s="1" t="s">
        <v>38</v>
      </c>
      <c r="Q15" s="2">
        <v>1.5</v>
      </c>
      <c r="R15" s="3" t="s">
        <v>39</v>
      </c>
    </row>
    <row r="16" spans="2:26" ht="55.2" customHeight="1" x14ac:dyDescent="0.3">
      <c r="B16" s="151" t="str">
        <f>IF(COUNTIF($I$20:$I$23,"MISSING - CRITICAL")=0,"BASELINE COMPLETE","BASELINE INCOMPLETE")</f>
        <v>BASELINE INCOMPLETE</v>
      </c>
      <c r="C16" s="132"/>
      <c r="D16" s="132"/>
      <c r="E16" s="133"/>
      <c r="F16" s="155" t="str">
        <f>(4-COUNTIF($I$20:$I$23,"MISSING - CRITICAL"))&amp;" of 4 Priority-1 parameters available     |     "&amp;COUNTIF($I$27:$I$38,"MISSING - REQUIRED")&amp;" conditional parameter(s) now required     |     "&amp;COUNTIF($I$27:$I$38,"Not measured")&amp;" optional parameter(s) not measured"</f>
        <v>0 of 4 Priority-1 parameters available     |     0 conditional parameter(s) now required     |     12 optional parameter(s) not measured</v>
      </c>
      <c r="G16" s="132"/>
      <c r="H16" s="132"/>
      <c r="I16" s="132"/>
      <c r="J16" s="132"/>
      <c r="K16" s="132"/>
      <c r="L16" s="132"/>
      <c r="M16" s="133"/>
      <c r="P16" s="1" t="s">
        <v>40</v>
      </c>
      <c r="Q16" s="2">
        <v>0.7</v>
      </c>
      <c r="R16" s="3" t="s">
        <v>41</v>
      </c>
    </row>
    <row r="17" spans="2:18" ht="27.6" customHeight="1" x14ac:dyDescent="0.3">
      <c r="B17" s="148" t="s">
        <v>42</v>
      </c>
      <c r="C17" s="137"/>
      <c r="D17" s="137"/>
      <c r="E17" s="137"/>
      <c r="F17" s="137"/>
      <c r="G17" s="137"/>
      <c r="H17" s="137"/>
      <c r="I17" s="137"/>
      <c r="J17" s="137"/>
      <c r="K17" s="137"/>
      <c r="L17" s="137"/>
      <c r="M17" s="137"/>
      <c r="P17" s="1" t="s">
        <v>43</v>
      </c>
      <c r="Q17" s="2">
        <v>3</v>
      </c>
      <c r="R17" s="3" t="s">
        <v>44</v>
      </c>
    </row>
    <row r="18" spans="2:18" ht="18" customHeight="1" x14ac:dyDescent="0.3">
      <c r="B18" s="164" t="s">
        <v>45</v>
      </c>
      <c r="C18" s="137"/>
      <c r="D18" s="137"/>
      <c r="E18" s="137"/>
      <c r="F18" s="137"/>
      <c r="G18" s="137"/>
      <c r="H18" s="137"/>
      <c r="I18" s="137"/>
      <c r="J18" s="137"/>
      <c r="K18" s="137"/>
      <c r="L18" s="137"/>
      <c r="M18" s="137"/>
      <c r="P18" s="1" t="s">
        <v>46</v>
      </c>
      <c r="Q18" s="2">
        <v>640</v>
      </c>
      <c r="R18" s="3" t="s">
        <v>47</v>
      </c>
    </row>
    <row r="19" spans="2:18" ht="24" customHeight="1" x14ac:dyDescent="0.3">
      <c r="B19" s="125" t="s">
        <v>48</v>
      </c>
      <c r="C19" s="135" t="s">
        <v>49</v>
      </c>
      <c r="D19" s="133"/>
      <c r="E19" s="125" t="s">
        <v>50</v>
      </c>
      <c r="F19" s="125" t="s">
        <v>51</v>
      </c>
      <c r="G19" s="135" t="s">
        <v>52</v>
      </c>
      <c r="H19" s="133"/>
      <c r="I19" s="135" t="s">
        <v>53</v>
      </c>
      <c r="J19" s="133"/>
      <c r="K19" s="135" t="s">
        <v>54</v>
      </c>
      <c r="L19" s="132"/>
      <c r="M19" s="133"/>
      <c r="P19" s="1" t="s">
        <v>55</v>
      </c>
      <c r="Q19" s="2">
        <v>1.724</v>
      </c>
      <c r="R19" s="3" t="s">
        <v>56</v>
      </c>
    </row>
    <row r="20" spans="2:18" ht="30" customHeight="1" x14ac:dyDescent="0.3">
      <c r="B20" s="126" t="s">
        <v>57</v>
      </c>
      <c r="C20" s="142" t="s">
        <v>58</v>
      </c>
      <c r="D20" s="133"/>
      <c r="E20" s="127" t="str">
        <f>IF(ISNUMBER('Section A - Field Checklist'!$H$5),'Section A - Field Checklist'!$H$5,"-")</f>
        <v>-</v>
      </c>
      <c r="F20" s="127" t="str">
        <f>IF(ISNUMBER('Section A - Field Checklist'!$H$6),'Section A - Field Checklist'!$H$6,"-")</f>
        <v>-</v>
      </c>
      <c r="G20" s="145" t="str">
        <f>IF(ISNUMBER('Section A - Field Checklist'!$H$5),"Primary",IF(ISNUMBER('Section A - Field Checklist'!$H$6),"Fallback","Missing"))</f>
        <v>Missing</v>
      </c>
      <c r="H20" s="133"/>
      <c r="I20" s="145" t="str">
        <f>IF(G20="Missing","MISSING - CRITICAL",IF(G20="Fallback","OK (fallback, confirm in lab)","OK"))</f>
        <v>MISSING - CRITICAL</v>
      </c>
      <c r="J20" s="133"/>
      <c r="K20" s="144" t="s">
        <v>59</v>
      </c>
      <c r="L20" s="132"/>
      <c r="M20" s="133"/>
      <c r="P20" s="1" t="s">
        <v>60</v>
      </c>
      <c r="Q20" s="2">
        <v>9.5</v>
      </c>
      <c r="R20" s="3" t="s">
        <v>61</v>
      </c>
    </row>
    <row r="21" spans="2:18" ht="30" customHeight="1" x14ac:dyDescent="0.3">
      <c r="B21" s="126" t="s">
        <v>57</v>
      </c>
      <c r="C21" s="142" t="s">
        <v>62</v>
      </c>
      <c r="D21" s="133"/>
      <c r="E21" s="127" t="str">
        <f>IF(ISNUMBER('Section A - Field Checklist'!$H$7),'Section A - Field Checklist'!$H$7,"-")</f>
        <v>-</v>
      </c>
      <c r="F21" s="127" t="str">
        <f>IF(ISNUMBER('Section A - Field Checklist'!$H$8),"SAR "&amp;'Section A - Field Checklist'!$H$8,IF(ISNUMBER('Section A - Field Checklist'!$H$9),"ESP "&amp;'Section A - Field Checklist'!$H$9&amp;"%","-"))</f>
        <v>-</v>
      </c>
      <c r="G21" s="145" t="str">
        <f>IF(ISNUMBER('Section A - Field Checklist'!$H$7),"Primary",IF(OR(ISNUMBER('Section A - Field Checklist'!$H$8),ISNUMBER('Section A - Field Checklist'!$H$9)),"Fallback","Missing"))</f>
        <v>Missing</v>
      </c>
      <c r="H21" s="133"/>
      <c r="I21" s="145" t="str">
        <f>IF(G21="Missing","MISSING - CRITICAL",IF(G21="Fallback","OK (fallback, confirm in lab)","OK"))</f>
        <v>MISSING - CRITICAL</v>
      </c>
      <c r="J21" s="133"/>
      <c r="K21" s="144" t="s">
        <v>63</v>
      </c>
      <c r="L21" s="132"/>
      <c r="M21" s="133"/>
      <c r="P21" s="1" t="s">
        <v>64</v>
      </c>
      <c r="Q21" s="2">
        <v>1.5</v>
      </c>
      <c r="R21" s="3" t="s">
        <v>65</v>
      </c>
    </row>
    <row r="22" spans="2:18" ht="30" customHeight="1" x14ac:dyDescent="0.3">
      <c r="B22" s="126" t="s">
        <v>57</v>
      </c>
      <c r="C22" s="142" t="s">
        <v>66</v>
      </c>
      <c r="D22" s="133"/>
      <c r="E22" s="127" t="str">
        <f>IF(ISNUMBER('Section A - Field Checklist'!$H$10),'Section A - Field Checklist'!$H$10,"-")</f>
        <v>-</v>
      </c>
      <c r="F22" s="127" t="str">
        <f>IF(ISNUMBER('Section A - Field Checklist'!$H$11),'Section A - Field Checklist'!$H$11,"-")</f>
        <v>-</v>
      </c>
      <c r="G22" s="145" t="str">
        <f>IF(ISNUMBER('Section A - Field Checklist'!$H$10),"Primary",IF(ISNUMBER('Section A - Field Checklist'!$H$11),"Fallback","Missing"))</f>
        <v>Missing</v>
      </c>
      <c r="H22" s="133"/>
      <c r="I22" s="145" t="str">
        <f>IF(G22="Missing","MISSING - CRITICAL",IF(G22="Fallback","OK (fallback, confirm in lab)","OK"))</f>
        <v>MISSING - CRITICAL</v>
      </c>
      <c r="J22" s="133"/>
      <c r="K22" s="144" t="s">
        <v>67</v>
      </c>
      <c r="L22" s="132"/>
      <c r="M22" s="133"/>
      <c r="P22" s="143" t="s">
        <v>68</v>
      </c>
      <c r="Q22" s="137"/>
      <c r="R22" s="137"/>
    </row>
    <row r="23" spans="2:18" ht="30" customHeight="1" x14ac:dyDescent="0.3">
      <c r="B23" s="126" t="s">
        <v>57</v>
      </c>
      <c r="C23" s="142" t="s">
        <v>69</v>
      </c>
      <c r="D23" s="133"/>
      <c r="E23" s="127" t="str">
        <f>IF(ISNUMBER('Section A - Field Checklist'!$H$12),'Section A - Field Checklist'!$H$12,"-")</f>
        <v>-</v>
      </c>
      <c r="F23" s="127" t="s">
        <v>70</v>
      </c>
      <c r="G23" s="145" t="str">
        <f>IF(ISNUMBER('Section A - Field Checklist'!$H$12),"Primary","Missing")</f>
        <v>Missing</v>
      </c>
      <c r="H23" s="133"/>
      <c r="I23" s="145" t="str">
        <f>IF(G23="Missing","MISSING - CRITICAL",IF(G23="Fallback","OK (fallback, confirm in lab)","OK"))</f>
        <v>MISSING - CRITICAL</v>
      </c>
      <c r="J23" s="133"/>
      <c r="K23" s="144" t="s">
        <v>71</v>
      </c>
      <c r="L23" s="132"/>
      <c r="M23" s="133"/>
      <c r="P23" s="4" t="s">
        <v>72</v>
      </c>
      <c r="Q23" s="4" t="s">
        <v>73</v>
      </c>
      <c r="R23" s="4" t="s">
        <v>74</v>
      </c>
    </row>
    <row r="24" spans="2:18" ht="18" customHeight="1" x14ac:dyDescent="0.3">
      <c r="P24" s="5" t="s">
        <v>75</v>
      </c>
      <c r="Q24" s="2">
        <v>5.8</v>
      </c>
      <c r="R24" s="3" t="b">
        <f t="shared" ref="R24:R35" si="0">IF(fa_TEXTURE="",FALSE(),ISNUMBER(SEARCH(P24,fa_TEXTURE)))</f>
        <v>0</v>
      </c>
    </row>
    <row r="25" spans="2:18" ht="18" customHeight="1" x14ac:dyDescent="0.3">
      <c r="B25" s="162" t="s">
        <v>76</v>
      </c>
      <c r="C25" s="137"/>
      <c r="D25" s="137"/>
      <c r="E25" s="137"/>
      <c r="F25" s="137"/>
      <c r="G25" s="137"/>
      <c r="H25" s="137"/>
      <c r="I25" s="137"/>
      <c r="J25" s="137"/>
      <c r="K25" s="137"/>
      <c r="L25" s="137"/>
      <c r="M25" s="137"/>
      <c r="P25" s="5" t="s">
        <v>77</v>
      </c>
      <c r="Q25" s="2">
        <v>7.5</v>
      </c>
      <c r="R25" s="3" t="b">
        <f t="shared" si="0"/>
        <v>0</v>
      </c>
    </row>
    <row r="26" spans="2:18" ht="24" customHeight="1" x14ac:dyDescent="0.3">
      <c r="B26" s="125" t="s">
        <v>48</v>
      </c>
      <c r="C26" s="135" t="s">
        <v>49</v>
      </c>
      <c r="D26" s="133"/>
      <c r="E26" s="125" t="s">
        <v>50</v>
      </c>
      <c r="F26" s="125" t="s">
        <v>51</v>
      </c>
      <c r="G26" s="135" t="s">
        <v>52</v>
      </c>
      <c r="H26" s="133"/>
      <c r="I26" s="135" t="s">
        <v>53</v>
      </c>
      <c r="J26" s="133"/>
      <c r="K26" s="135" t="s">
        <v>54</v>
      </c>
      <c r="L26" s="132"/>
      <c r="M26" s="133"/>
      <c r="P26" s="5" t="s">
        <v>78</v>
      </c>
      <c r="Q26" s="2">
        <v>9.5</v>
      </c>
      <c r="R26" s="3" t="b">
        <f t="shared" si="0"/>
        <v>0</v>
      </c>
    </row>
    <row r="27" spans="2:18" ht="30" customHeight="1" x14ac:dyDescent="0.3">
      <c r="B27" s="126" t="s">
        <v>79</v>
      </c>
      <c r="C27" s="142" t="s">
        <v>80</v>
      </c>
      <c r="D27" s="133"/>
      <c r="E27" s="127" t="str">
        <f>IF(ISNUMBER('Section A - Field Checklist'!$H$15),'Section A - Field Checklist'!$H$15,"-")</f>
        <v>-</v>
      </c>
      <c r="F27" s="127" t="str">
        <f>IF(ISNUMBER('Section A - Field Checklist'!$H$16),'Section A - Field Checklist'!$H$16,"-")</f>
        <v>-</v>
      </c>
      <c r="G27" s="145" t="str">
        <f>IF(ISNUMBER('Section A - Field Checklist'!$H$15),"Primary",IF(ISNUMBER('Section A - Field Checklist'!$H$16),"Fallback","Missing"))</f>
        <v>Missing</v>
      </c>
      <c r="H27" s="133"/>
      <c r="I27" s="145" t="str">
        <f>IF(G27&lt;&gt;"Missing",IF(G27="Fallback","OK (fallback)","OK"),IF(fa_SHALLOW=1,"MISSING - REQUIRED","Not measured"))</f>
        <v>Not measured</v>
      </c>
      <c r="J27" s="133"/>
      <c r="K27" s="144" t="s">
        <v>81</v>
      </c>
      <c r="L27" s="132"/>
      <c r="M27" s="133"/>
      <c r="P27" s="5" t="s">
        <v>82</v>
      </c>
      <c r="Q27" s="2">
        <v>8.6</v>
      </c>
      <c r="R27" s="3" t="b">
        <f t="shared" si="0"/>
        <v>0</v>
      </c>
    </row>
    <row r="28" spans="2:18" ht="30" customHeight="1" x14ac:dyDescent="0.3">
      <c r="B28" s="126" t="s">
        <v>79</v>
      </c>
      <c r="C28" s="142" t="s">
        <v>83</v>
      </c>
      <c r="D28" s="133"/>
      <c r="E28" s="127" t="str">
        <f>IF(AND(LEN(TRIM('Section A - Field Checklist'!$H$17&amp;""))&gt;0,LOWER(TRIM('Section A - Field Checklist'!$H$17&amp;""))&lt;&gt;"unknown"),'Section A - Field Checklist'!$H$17,"-")</f>
        <v>-</v>
      </c>
      <c r="F28" s="127" t="str">
        <f>IF(AND(LEN(TRIM('Section A - Field Checklist'!$H$18&amp;""))&gt;0,LOWER(TRIM('Section A - Field Checklist'!$H$18&amp;""))&lt;&gt;"unknown"),'Section A - Field Checklist'!$H$18,"-")</f>
        <v>-</v>
      </c>
      <c r="G28" s="145" t="str">
        <f>IF(AND(LEN(TRIM('Section A - Field Checklist'!$H$17&amp;""))&gt;0,LOWER(TRIM('Section A - Field Checklist'!$H$17&amp;""))&lt;&gt;"unknown"),"Primary",IF(AND(LEN(TRIM('Section A - Field Checklist'!$H$18&amp;""))&gt;0,LOWER(TRIM('Section A - Field Checklist'!$H$18&amp;""))&lt;&gt;"unknown"),"Fallback","Missing"))</f>
        <v>Missing</v>
      </c>
      <c r="H28" s="133"/>
      <c r="I28" s="145" t="str">
        <f>IF(G28&lt;&gt;"Missing",IF(G28="Fallback","OK (fallback)","OK"),IF(fa_ECe_src="Fallback","MISSING - REQUIRED","Not measured"))</f>
        <v>Not measured</v>
      </c>
      <c r="J28" s="133"/>
      <c r="K28" s="144" t="s">
        <v>84</v>
      </c>
      <c r="L28" s="132"/>
      <c r="M28" s="133"/>
      <c r="P28" s="5" t="s">
        <v>85</v>
      </c>
      <c r="Q28" s="2">
        <v>8.6</v>
      </c>
      <c r="R28" s="3" t="b">
        <f t="shared" si="0"/>
        <v>0</v>
      </c>
    </row>
    <row r="29" spans="2:18" ht="30" customHeight="1" x14ac:dyDescent="0.3">
      <c r="B29" s="126" t="s">
        <v>79</v>
      </c>
      <c r="C29" s="142" t="s">
        <v>86</v>
      </c>
      <c r="D29" s="133"/>
      <c r="E29" s="127" t="str">
        <f>IF(ISNUMBER('Section A - Field Checklist'!$H$19),'Section A - Field Checklist'!$H$19,"-")</f>
        <v>-</v>
      </c>
      <c r="F29" s="127" t="str">
        <f>IF(AND(LEN(TRIM('Section A - Field Checklist'!$H$20&amp;""))&gt;0,LOWER(TRIM('Section A - Field Checklist'!$H$20&amp;""))&lt;&gt;"unknown"),'Section A - Field Checklist'!$H$20,"-")</f>
        <v>-</v>
      </c>
      <c r="G29" s="145" t="str">
        <f>IF(ISNUMBER('Section A - Field Checklist'!$H$19),"Primary",IF(ISNUMBER('Section A - Field Checklist'!$H$20),"Fallback","Missing"))</f>
        <v>Missing</v>
      </c>
      <c r="H29" s="133"/>
      <c r="I29" s="145" t="str">
        <f>IF(G29&lt;&gt;"Missing",IF(G29="Fallback","OK (fallback)","OK"),"Not measured")</f>
        <v>Not measured</v>
      </c>
      <c r="J29" s="133"/>
      <c r="K29" s="144" t="s">
        <v>87</v>
      </c>
      <c r="L29" s="132"/>
      <c r="M29" s="133"/>
      <c r="P29" s="5" t="s">
        <v>88</v>
      </c>
      <c r="Q29" s="2">
        <v>8.6</v>
      </c>
      <c r="R29" s="3" t="b">
        <f t="shared" si="0"/>
        <v>0</v>
      </c>
    </row>
    <row r="30" spans="2:18" ht="30" customHeight="1" x14ac:dyDescent="0.3">
      <c r="B30" s="126" t="s">
        <v>89</v>
      </c>
      <c r="C30" s="142" t="s">
        <v>90</v>
      </c>
      <c r="D30" s="133"/>
      <c r="E30" s="127" t="str">
        <f>IF(ISNUMBER('Section A - Field Checklist'!$H$23),'Section A - Field Checklist'!$H$23,"-")</f>
        <v>-</v>
      </c>
      <c r="F30" s="127" t="str">
        <f>IF(ISNUMBER('Section A - Field Checklist'!$H$24),'Section A - Field Checklist'!$H$24,"-")</f>
        <v>-</v>
      </c>
      <c r="G30" s="145" t="str">
        <f>IF(ISNUMBER('Section A - Field Checklist'!$H$23),"Primary",IF(ISNUMBER('Section A - Field Checklist'!$H$24),"Fallback","Missing"))</f>
        <v>Missing</v>
      </c>
      <c r="H30" s="133"/>
      <c r="I30" s="145" t="str">
        <f>IF(G30&lt;&gt;"Missing",IF(G30="Fallback","OK (fallback)","OK"),IF(fa_SODIC=1,"MISSING - REQUIRED","Not measured"))</f>
        <v>Not measured</v>
      </c>
      <c r="J30" s="133"/>
      <c r="K30" s="144" t="s">
        <v>91</v>
      </c>
      <c r="L30" s="132"/>
      <c r="M30" s="133"/>
      <c r="P30" s="5" t="s">
        <v>92</v>
      </c>
      <c r="Q30" s="2">
        <v>8.6</v>
      </c>
      <c r="R30" s="3" t="b">
        <f t="shared" si="0"/>
        <v>0</v>
      </c>
    </row>
    <row r="31" spans="2:18" ht="30" customHeight="1" x14ac:dyDescent="0.3">
      <c r="B31" s="126" t="s">
        <v>89</v>
      </c>
      <c r="C31" s="142" t="s">
        <v>93</v>
      </c>
      <c r="D31" s="133"/>
      <c r="E31" s="127" t="str">
        <f>IF(ISNUMBER('Section A - Field Checklist'!$H$25),'Section A - Field Checklist'!$H$25,"-")</f>
        <v>-</v>
      </c>
      <c r="F31" s="127" t="str">
        <f>IF(ISNUMBER('Section A - Field Checklist'!$H$26),'Section A - Field Checklist'!$H$26,"-")</f>
        <v>-</v>
      </c>
      <c r="G31" s="145" t="str">
        <f>IF(ISNUMBER('Section A - Field Checklist'!$H$25),"Primary",IF(ISNUMBER('Section A - Field Checklist'!$H$26),"Fallback","Missing"))</f>
        <v>Missing</v>
      </c>
      <c r="H31" s="133"/>
      <c r="I31" s="145" t="str">
        <f>IF(G31&lt;&gt;"Missing",IF(G31="Fallback","OK (fallback)","OK"),IF(fa_SODIC=1,"MISSING - REQUIRED","Not measured"))</f>
        <v>Not measured</v>
      </c>
      <c r="J31" s="133"/>
      <c r="K31" s="144" t="s">
        <v>94</v>
      </c>
      <c r="L31" s="132"/>
      <c r="M31" s="133"/>
      <c r="P31" s="5" t="s">
        <v>95</v>
      </c>
      <c r="Q31" s="2">
        <v>7.5</v>
      </c>
      <c r="R31" s="3" t="b">
        <f t="shared" si="0"/>
        <v>0</v>
      </c>
    </row>
    <row r="32" spans="2:18" ht="30" customHeight="1" x14ac:dyDescent="0.3">
      <c r="B32" s="126" t="s">
        <v>89</v>
      </c>
      <c r="C32" s="142" t="s">
        <v>96</v>
      </c>
      <c r="D32" s="133"/>
      <c r="E32" s="127" t="str">
        <f>IF(ISNUMBER('Section A - Field Checklist'!$H$27),'Section A - Field Checklist'!$H$27,"-")</f>
        <v>-</v>
      </c>
      <c r="F32" s="127" t="str">
        <f>IF(AND(LEN(TRIM('Section A - Field Checklist'!$H$28&amp;""))&gt;0,LOWER(TRIM('Section A - Field Checklist'!$H$28&amp;""))&lt;&gt;"unknown"),'Section A - Field Checklist'!$H$28,"-")</f>
        <v>-</v>
      </c>
      <c r="G32" s="145" t="str">
        <f>IF(ISNUMBER('Section A - Field Checklist'!$H$27),"Primary",IF(AND(LEN(TRIM('Section A - Field Checklist'!$H$28&amp;""))&gt;0,LOWER(TRIM('Section A - Field Checklist'!$H$28&amp;""))&lt;&gt;"unknown"),"Fallback","Missing"))</f>
        <v>Missing</v>
      </c>
      <c r="H32" s="133"/>
      <c r="I32" s="145" t="str">
        <f>IF(G32&lt;&gt;"Missing",IF(G32="Fallback","OK (fallback)","OK"),IF(fa_SODIC=1,"MISSING - REQUIRED","Not measured"))</f>
        <v>Not measured</v>
      </c>
      <c r="J32" s="133"/>
      <c r="K32" s="144" t="s">
        <v>97</v>
      </c>
      <c r="L32" s="132"/>
      <c r="M32" s="133"/>
      <c r="P32" s="5" t="s">
        <v>98</v>
      </c>
      <c r="Q32" s="2">
        <v>14</v>
      </c>
      <c r="R32" s="3" t="b">
        <f t="shared" si="0"/>
        <v>0</v>
      </c>
    </row>
    <row r="33" spans="2:18" ht="30" customHeight="1" x14ac:dyDescent="0.3">
      <c r="B33" s="126" t="s">
        <v>89</v>
      </c>
      <c r="C33" s="142" t="s">
        <v>99</v>
      </c>
      <c r="D33" s="133"/>
      <c r="E33" s="127" t="str">
        <f>IF(ISNUMBER('Section A - Field Checklist'!$H$29),'Section A - Field Checklist'!$H$29,"-")</f>
        <v>-</v>
      </c>
      <c r="F33" s="127" t="str">
        <f>IF(ISNUMBER('Section A - Field Checklist'!$H$30),'Section A - Field Checklist'!$H$30,"-")</f>
        <v>-</v>
      </c>
      <c r="G33" s="145" t="str">
        <f>IF(ISNUMBER('Section A - Field Checklist'!$H$29),"Primary",IF(ISNUMBER('Section A - Field Checklist'!$H$30),"Fallback","Missing"))</f>
        <v>Missing</v>
      </c>
      <c r="H33" s="133"/>
      <c r="I33" s="145" t="str">
        <f>IF(G33&lt;&gt;"Missing",IF(G33="Fallback","OK (fallback)","OK"),"Not measured")</f>
        <v>Not measured</v>
      </c>
      <c r="J33" s="133"/>
      <c r="K33" s="144" t="s">
        <v>100</v>
      </c>
      <c r="L33" s="132"/>
      <c r="M33" s="133"/>
      <c r="P33" s="5" t="s">
        <v>101</v>
      </c>
      <c r="Q33" s="2">
        <v>23</v>
      </c>
      <c r="R33" s="3" t="b">
        <f t="shared" si="0"/>
        <v>0</v>
      </c>
    </row>
    <row r="34" spans="2:18" ht="30" customHeight="1" x14ac:dyDescent="0.3">
      <c r="B34" s="126" t="s">
        <v>89</v>
      </c>
      <c r="C34" s="142" t="s">
        <v>102</v>
      </c>
      <c r="D34" s="133"/>
      <c r="E34" s="127" t="str">
        <f>IF(ISNUMBER('Section A - Field Checklist'!$H$31),'Section A - Field Checklist'!$H$31,"-")</f>
        <v>-</v>
      </c>
      <c r="F34" s="127" t="s">
        <v>70</v>
      </c>
      <c r="G34" s="145" t="str">
        <f>IF(ISNUMBER('Section A - Field Checklist'!$H$31),"Primary","Missing")</f>
        <v>Missing</v>
      </c>
      <c r="H34" s="133"/>
      <c r="I34" s="145" t="str">
        <f>IF(G34&lt;&gt;"Missing",IF(G34="Fallback","OK (fallback)","OK"),IF(fa_SODIC=1,"MISSING - REQUIRED","Not measured"))</f>
        <v>Not measured</v>
      </c>
      <c r="J34" s="133"/>
      <c r="K34" s="144" t="s">
        <v>103</v>
      </c>
      <c r="L34" s="132"/>
      <c r="M34" s="133"/>
      <c r="P34" s="5" t="s">
        <v>104</v>
      </c>
      <c r="Q34" s="2">
        <v>9.5</v>
      </c>
      <c r="R34" s="3" t="b">
        <f t="shared" si="0"/>
        <v>0</v>
      </c>
    </row>
    <row r="35" spans="2:18" ht="30" customHeight="1" x14ac:dyDescent="0.3">
      <c r="B35" s="126" t="s">
        <v>89</v>
      </c>
      <c r="C35" s="142" t="s">
        <v>105</v>
      </c>
      <c r="D35" s="133"/>
      <c r="E35" s="127" t="str">
        <f>IF(ISNUMBER('Section A - Field Checklist'!$H$32),'Section A - Field Checklist'!$H$32,"-")</f>
        <v>-</v>
      </c>
      <c r="F35" s="127" t="s">
        <v>70</v>
      </c>
      <c r="G35" s="145" t="str">
        <f>IF(ISNUMBER('Section A - Field Checklist'!$H$32),"Primary","Missing")</f>
        <v>Missing</v>
      </c>
      <c r="H35" s="133"/>
      <c r="I35" s="145" t="str">
        <f>IF(G35&lt;&gt;"Missing",IF(G35="Fallback","OK (fallback)","OK"),IF(fa_SHALLOW=1,"MISSING - REQUIRED","Not measured"))</f>
        <v>Not measured</v>
      </c>
      <c r="J35" s="133"/>
      <c r="K35" s="144" t="s">
        <v>106</v>
      </c>
      <c r="L35" s="132"/>
      <c r="M35" s="133"/>
      <c r="P35" s="5" t="s">
        <v>107</v>
      </c>
      <c r="Q35" s="2">
        <v>9.5</v>
      </c>
      <c r="R35" s="3" t="b">
        <f t="shared" si="0"/>
        <v>0</v>
      </c>
    </row>
    <row r="36" spans="2:18" ht="30" customHeight="1" x14ac:dyDescent="0.3">
      <c r="B36" s="126" t="s">
        <v>108</v>
      </c>
      <c r="C36" s="142" t="s">
        <v>109</v>
      </c>
      <c r="D36" s="133"/>
      <c r="E36" s="127" t="str">
        <f>IF(ISNUMBER('Section A - Field Checklist'!$H$35),'Section A - Field Checklist'!$H$35,"-")</f>
        <v>-</v>
      </c>
      <c r="F36" s="127" t="str">
        <f>IF(ISNUMBER('Section A - Field Checklist'!$H$36),'Section A - Field Checklist'!$H$36,"-")</f>
        <v>-</v>
      </c>
      <c r="G36" s="145" t="str">
        <f>IF(ISNUMBER('Section A - Field Checklist'!$H$35),"Primary",IF(ISNUMBER('Section A - Field Checklist'!$H$36),"Fallback","Missing"))</f>
        <v>Missing</v>
      </c>
      <c r="H36" s="133"/>
      <c r="I36" s="145" t="str">
        <f>IF(G36&lt;&gt;"Missing",IF(G36="Fallback","OK (fallback)","OK"),"Not measured")</f>
        <v>Not measured</v>
      </c>
      <c r="J36" s="133"/>
      <c r="K36" s="144" t="s">
        <v>110</v>
      </c>
      <c r="L36" s="132"/>
      <c r="M36" s="133"/>
    </row>
    <row r="37" spans="2:18" ht="30" customHeight="1" x14ac:dyDescent="0.3">
      <c r="B37" s="126" t="s">
        <v>108</v>
      </c>
      <c r="C37" s="142" t="s">
        <v>111</v>
      </c>
      <c r="D37" s="133"/>
      <c r="E37" s="127" t="str">
        <f>IF(ISNUMBER('Section A - Field Checklist'!$H$37),'Section A - Field Checklist'!$H$37,"-")</f>
        <v>-</v>
      </c>
      <c r="F37" s="127" t="str">
        <f>IF(AND(LEN(TRIM('Section A - Field Checklist'!$H$38&amp;""))&gt;0,LOWER(TRIM('Section A - Field Checklist'!$H$38&amp;""))&lt;&gt;"unknown"),'Section A - Field Checklist'!$H$38,"-")</f>
        <v>-</v>
      </c>
      <c r="G37" s="145" t="str">
        <f>IF(ISNUMBER('Section A - Field Checklist'!$H$37),"Primary",IF(ISNUMBER('Section A - Field Checklist'!$H$38),"Fallback","Missing"))</f>
        <v>Missing</v>
      </c>
      <c r="H37" s="133"/>
      <c r="I37" s="145" t="str">
        <f>IF(G37&lt;&gt;"Missing",IF(G37="Fallback","OK (fallback)","OK"),"Not measured")</f>
        <v>Not measured</v>
      </c>
      <c r="J37" s="133"/>
      <c r="K37" s="144" t="s">
        <v>112</v>
      </c>
      <c r="L37" s="132"/>
      <c r="M37" s="133"/>
      <c r="P37" s="143" t="s">
        <v>113</v>
      </c>
      <c r="Q37" s="137"/>
      <c r="R37" s="137"/>
    </row>
    <row r="38" spans="2:18" ht="30" customHeight="1" x14ac:dyDescent="0.3">
      <c r="B38" s="126" t="s">
        <v>108</v>
      </c>
      <c r="C38" s="142" t="s">
        <v>114</v>
      </c>
      <c r="D38" s="133"/>
      <c r="E38" s="127" t="str">
        <f>IF(AND(LEN(TRIM('Section A - Field Checklist'!$H$39&amp;""))&gt;0,LOWER(TRIM('Section A - Field Checklist'!$H$39&amp;""))&lt;&gt;"unknown"),'Section A - Field Checklist'!$H$39,"-")</f>
        <v>-</v>
      </c>
      <c r="F38" s="127" t="s">
        <v>70</v>
      </c>
      <c r="G38" s="145" t="str">
        <f>IF(AND(LEN(TRIM('Section A - Field Checklist'!$H$39&amp;""))&gt;0,LOWER(TRIM('Section A - Field Checklist'!$H$39&amp;""))&lt;&gt;"unknown"),"Primary","Missing")</f>
        <v>Missing</v>
      </c>
      <c r="H38" s="133"/>
      <c r="I38" s="145" t="str">
        <f>IF(G38&lt;&gt;"Missing",IF(G38="Fallback","OK (fallback)","OK"),"Not measured")</f>
        <v>Not measured</v>
      </c>
      <c r="J38" s="133"/>
      <c r="K38" s="144" t="s">
        <v>115</v>
      </c>
      <c r="L38" s="132"/>
      <c r="M38" s="133"/>
      <c r="P38" s="1" t="s">
        <v>116</v>
      </c>
      <c r="Q38" s="6" t="str">
        <f>IF(AND(LEN(TRIM('Section A - Field Checklist'!$H$17&amp;""))&gt;0,LOWER(TRIM('Section A - Field Checklist'!$H$17&amp;""))&lt;&gt;"unknown"),TRIM('Section A - Field Checklist'!$H$17&amp;""),IF(AND(LEN(TRIM('Section A - Field Checklist'!$H$18&amp;""))&gt;0,LOWER(TRIM('Section A - Field Checklist'!$H$18&amp;""))&lt;&gt;"unknown"),TRIM('Section A - Field Checklist'!$H$18&amp;""),""))</f>
        <v/>
      </c>
      <c r="R38" s="3" t="s">
        <v>117</v>
      </c>
    </row>
    <row r="39" spans="2:18" ht="18" customHeight="1" x14ac:dyDescent="0.3">
      <c r="P39" s="1" t="s">
        <v>118</v>
      </c>
      <c r="Q39" s="6">
        <f>IF(fa_TEXTURE="",th_FDEFAULT,IFERROR(INDEX($Q$24:$Q$35,MATCH(TRUE(),$R$24:$R$35,0)),th_FDEFAULT))</f>
        <v>9.5</v>
      </c>
      <c r="R39" s="3" t="s">
        <v>119</v>
      </c>
    </row>
    <row r="40" spans="2:18" ht="21.75" customHeight="1" x14ac:dyDescent="0.3">
      <c r="B40" s="141" t="s">
        <v>120</v>
      </c>
      <c r="C40" s="137"/>
      <c r="D40" s="137"/>
      <c r="E40" s="137"/>
      <c r="F40" s="137"/>
      <c r="G40" s="137"/>
      <c r="H40" s="137"/>
      <c r="I40" s="137"/>
      <c r="J40" s="137"/>
      <c r="K40" s="137"/>
      <c r="L40" s="137"/>
      <c r="M40" s="137"/>
      <c r="P40" s="1" t="s">
        <v>121</v>
      </c>
      <c r="Q40" s="6">
        <f>IF(OR(ISNUMBER(SEARCH("pan",'Section A - Field Checklist'!$H$17&amp;" "&amp;'Section A - Field Checklist'!$H$18)),ISNUMBER(SEARCH("stratif",'Section A - Field Checklist'!$H$17&amp;" "&amp;'Section A - Field Checklist'!$H$18))),1,0)</f>
        <v>0</v>
      </c>
      <c r="R40" s="3" t="s">
        <v>122</v>
      </c>
    </row>
    <row r="41" spans="2:18" ht="51" customHeight="1" x14ac:dyDescent="0.3">
      <c r="B41" s="159" t="str">
        <f>IF(COUNTIF($E$43:$E$47,"CRITICAL")&gt;0,COUNTIF($E$43:$E$47,"CRITICAL")&amp;" CRITICAL item(s) below. Read these before selecting any measure.",IF(COUNTIF($E$43:$E$47,"WARNING")&gt;0,COUNTIF($E$43:$E$47,"WARNING")&amp;" WARNING(s) below.",IF(COUNTIF($E$43:$E$47,"DATA NEEDED")&gt;0,"No critical warnings yet. Some checks are still waiting for data.","All cross-parameter checks are CLEAR.")))</f>
        <v>No critical warnings yet. Some checks are still waiting for data.</v>
      </c>
      <c r="C41" s="132"/>
      <c r="D41" s="132"/>
      <c r="E41" s="132"/>
      <c r="F41" s="132"/>
      <c r="G41" s="132"/>
      <c r="H41" s="132"/>
      <c r="I41" s="132"/>
      <c r="J41" s="132"/>
      <c r="K41" s="132"/>
      <c r="L41" s="132"/>
      <c r="M41" s="133"/>
      <c r="P41" s="1" t="s">
        <v>123</v>
      </c>
      <c r="Q41" s="6" t="str">
        <f>IF(ISNUMBER('Section A - Field Checklist'!$H$5),'Section A - Field Checklist'!$H$5,IF(ISNUMBER('Section A - Field Checklist'!$H$6),'Section A - Field Checklist'!$H$6*fa_FTEXT,""))</f>
        <v/>
      </c>
      <c r="R41" s="3" t="s">
        <v>124</v>
      </c>
    </row>
    <row r="42" spans="2:18" ht="24" customHeight="1" x14ac:dyDescent="0.3">
      <c r="B42" s="135" t="s">
        <v>125</v>
      </c>
      <c r="C42" s="132"/>
      <c r="D42" s="133"/>
      <c r="E42" s="135" t="s">
        <v>126</v>
      </c>
      <c r="F42" s="133"/>
      <c r="G42" s="135" t="s">
        <v>127</v>
      </c>
      <c r="H42" s="132"/>
      <c r="I42" s="132"/>
      <c r="J42" s="132"/>
      <c r="K42" s="132"/>
      <c r="L42" s="132"/>
      <c r="M42" s="133"/>
      <c r="P42" s="1" t="s">
        <v>128</v>
      </c>
      <c r="Q42" s="6" t="str">
        <f>IF(ISNUMBER('Section A - Field Checklist'!$H$5),"Primary",IF(ISNUMBER('Section A - Field Checklist'!$H$6),"Fallback",""))</f>
        <v/>
      </c>
      <c r="R42" s="3" t="s">
        <v>129</v>
      </c>
    </row>
    <row r="43" spans="2:18" ht="31.2" customHeight="1" x14ac:dyDescent="0.3">
      <c r="B43" s="142" t="s">
        <v>130</v>
      </c>
      <c r="C43" s="132"/>
      <c r="D43" s="133"/>
      <c r="E43" s="155" t="str">
        <f>IF(fa_SHALLOW="","DATA NEEDED",IF(fa_SHALLOW=0,"CLEAR",IF(fa_ECgw="","WARNING",IF(fa_ECgw&gt;=th_ECgw,"CRITICAL","WARNING"))))</f>
        <v>DATA NEEDED</v>
      </c>
      <c r="F43" s="133"/>
      <c r="G43" s="157" t="str">
        <f>IF(fa_SHALLOW="","Groundwater depth not measured: capillary salinization and waterlogging cannot be assessed.",IF(fa_SHALLOW=0,"Groundwater at "&amp;ROUND(fa_GWD,2)&amp;" m lies below the critical depth ("&amp;ROUND(th_GW,2)&amp;" m). No capillary or waterlogging hazard at screening level.",IF(fa_ECgw="","Shallow groundwater ("&amp;ROUND(fa_GWD,2)&amp;" m) of unknown salinity. Measure ECgw to separate capillary salinization from waterlogging.",IF(fa_ECgw&gt;=th_ECgw,"SHALLOW SALINE GROUNDWATER: water table at "&amp;ROUND(fa_GWD,2)&amp;" m with ECgw "&amp;ROUND(fa_ECgw,1)&amp;" dS/m. Capillary rise will salinize the root zone. Lower the water table with subsurface pipe drainage.","SHALLOW FRESH GROUNDWATER: water table at "&amp;ROUND(fa_GWD,2)&amp;" m with ECgw "&amp;ROUND(fa_ECgw,1)&amp;" dS/m. The risk is waterlogging and root-zone anoxia, not salinization. Prioritise surface water removal (open ditches, field outlets)."))))</f>
        <v>Groundwater depth not measured: capillary salinization and waterlogging cannot be assessed.</v>
      </c>
      <c r="H43" s="132"/>
      <c r="I43" s="132"/>
      <c r="J43" s="132"/>
      <c r="K43" s="132"/>
      <c r="L43" s="132"/>
      <c r="M43" s="133"/>
      <c r="P43" s="1" t="s">
        <v>131</v>
      </c>
      <c r="Q43" s="6" t="str">
        <f>IF(ISNUMBER('Section A - Field Checklist'!$H$9),'Section A - Field Checklist'!$H$9,"")</f>
        <v/>
      </c>
      <c r="R43" s="3" t="s">
        <v>132</v>
      </c>
    </row>
    <row r="44" spans="2:18" ht="31.2" customHeight="1" x14ac:dyDescent="0.3">
      <c r="B44" s="142" t="s">
        <v>133</v>
      </c>
      <c r="C44" s="132"/>
      <c r="D44" s="133"/>
      <c r="E44" s="155" t="str">
        <f>IF(AND(ISNUMBER(fa_ECe),fa_ECe&gt;=th_SAL,fa_SODIC=1),"CRITICAL",IF(fa_SODIC=1,"WARNING",IF(OR(fa_ECe="",fa_SODIC=""),"DATA NEEDED","CLEAR")))</f>
        <v>DATA NEEDED</v>
      </c>
      <c r="F44" s="133"/>
      <c r="G44" s="157" t="str">
        <f>IF(AND(ISNUMBER(fa_ECe),fa_ECe&gt;=th_SAL,fa_SODIC=1),IF(fa_SOD="","Probably saline-sodic (pH only, CROSS/SAR not measured). Do not leach with fresh water until gypsum has been applied or a CROSS/SAR measurement rules out sodicity.","CRITICAL RECLAMATION WARNING: Saline-Sodic soil diagnosed. DO NOT LEACH WITH FRESHWATER! Desalinizing before desodification removes stabilizing electrolytes, triggering immediate clay swelling, dispersion, and macropore sealing. "&amp;"Incorporate calcium amendments (Gypsum) prior to leaching."),IF(fa_SODIC=1,IF(fa_SOD="","Probably sodic (pH only, CROSS/SAR not measured). Treat it as sodic until measured: no leaching with fresh water before a calcium amendment.","Sodic soil: leaching or heavy irrigation with fresh water will disperse the clay. Apply a calcium amendment before any leaching."),IF(OR(fa_ECe="",fa_SODIC=""),"Salinity or sodicity data missing: leaching safety cannot be confirmed.","Soil is not sodic: salts can be leached safely, provided drainage is adequate.")))</f>
        <v>Salinity or sodicity data missing: leaching safety cannot be confirmed.</v>
      </c>
      <c r="H44" s="132"/>
      <c r="I44" s="132"/>
      <c r="J44" s="132"/>
      <c r="K44" s="132"/>
      <c r="L44" s="132"/>
      <c r="M44" s="133"/>
      <c r="P44" s="1" t="s">
        <v>134</v>
      </c>
      <c r="Q44" s="6" t="str">
        <f>IF(ISNUMBER('Section A - Field Checklist'!$H$7),'Section A - Field Checklist'!$H$7,IF(ISNUMBER('Section A - Field Checklist'!$H$8),'Section A - Field Checklist'!$H$8,IF(AND(ISNUMBER('Section A - Field Checklist'!$H$9),'Section A - Field Checklist'!$H$9&lt;100),('Section A - Field Checklist'!$H$9/(100-'Section A - Field Checklist'!$H$9)+0.0126)/0.01475,"")))</f>
        <v/>
      </c>
      <c r="R44" s="3" t="s">
        <v>135</v>
      </c>
    </row>
    <row r="45" spans="2:18" ht="31.2" customHeight="1" x14ac:dyDescent="0.3">
      <c r="B45" s="142" t="s">
        <v>136</v>
      </c>
      <c r="C45" s="132"/>
      <c r="D45" s="133"/>
      <c r="E45" s="155" t="str">
        <f>IF(fa_INFIL="","DATA NEEDED",CHOOSE(fa_INFIL+1,"CLEAR","WARNING","CRITICAL"))</f>
        <v>DATA NEEDED</v>
      </c>
      <c r="F45" s="133"/>
      <c r="G45" s="157" t="str">
        <f>IF(fa_INFIL="","ECw or CROSS/SAR missing: the infiltration hazard cannot be assessed.",CHOOSE(fa_INFIL+1,"No infiltration restriction expected (FAO 29, Section B Table 22): ECw "&amp;ROUND(fa_ECw,1)&amp;" dS/m is sufficient for CROSS/SAR "&amp;ROUND(fa_SOD,1)&amp;".","Slight to moderate infiltration restriction (FAO 29, Section B Table 22): ECw "&amp;ROUND(fa_ECw,1)&amp;" dS/m has too few electrolytes for CROSS/SAR "&amp;ROUND(fa_SOD,1)&amp;". Expect surface crusting and slower permeability; consider gypsum or acid dosing of the irrigation water.","SEVERE infiltration restriction (FAO 29, Section B Table 22): ECw "&amp;ROUND(fa_ECw,1)&amp;" dS/m cannot keep a soil with CROSS/SAR "&amp;ROUND(fa_SOD,1)&amp;" flocculated. Surface crusting and permeability collapse are likely; dose gypsum into the water or onto the soil surface."))</f>
        <v>ECw or CROSS/SAR missing: the infiltration hazard cannot be assessed.</v>
      </c>
      <c r="H45" s="132"/>
      <c r="I45" s="132"/>
      <c r="J45" s="132"/>
      <c r="K45" s="132"/>
      <c r="L45" s="132"/>
      <c r="M45" s="133"/>
      <c r="P45" s="1" t="s">
        <v>137</v>
      </c>
      <c r="Q45" s="6" t="str">
        <f>IF(ISNUMBER('Section A - Field Checklist'!$H$7),"CROSS",IF(ISNUMBER('Section A - Field Checklist'!$H$8),"SAR",IF(ISNUMBER('Section A - Field Checklist'!$H$9),"ESP","")))</f>
        <v/>
      </c>
      <c r="R45" s="3" t="s">
        <v>138</v>
      </c>
    </row>
    <row r="46" spans="2:18" ht="31.2" customHeight="1" x14ac:dyDescent="0.3">
      <c r="B46" s="142" t="s">
        <v>139</v>
      </c>
      <c r="C46" s="132"/>
      <c r="D46" s="133"/>
      <c r="E46" s="155" t="str">
        <f>IF(fa_SODIC="","DATA NEEDED",IF(fa_SODIC=0,"CLEAR",IF(fa_SOD="","DATA NEEDED",IF(fa_LIMEHIGH="","DATA NEEDED",IF(AND(fa_LIMEHIGH=1,ISNUMBER(fa_pH),fa_pH&gt;=th_pHCALC),"OPPORTUNITY","CLEAR")))))</f>
        <v>DATA NEEDED</v>
      </c>
      <c r="F46" s="133"/>
      <c r="G46" s="157" t="str">
        <f>IF(fa_SODIC="","Sodicity not determined.",IF(fa_SODIC=0,"Soil is not sodic: no reclamation amendment required.",IF(fa_SOD="","Sodicity is only presumed from pH: measure CROSS/SAR before choosing sulfur/acid over gypsum. Until then gypsum is the provisional choice.",IF(fa_LIMEHIGH="","Soil is sodic but native lime is not measured: the sulfur/acid alternative to gypsum cannot be evaluated.",IF(fa_LIMEHIGH=0,"Native lime below "&amp;ROUND(th_LIME,1)&amp;"%: gypsum is the calcium source; acidifying amendments are not suitable.",IF(AND(ISNUMBER(fa_pH),fa_pH&gt;=th_pHCALC),"Calcareous sodic soil ("&amp;IF(ISNUMBER(fa_LIME),"CaCO3 "&amp;ROUND(fa_LIME,1)&amp;"%","lime-rich by HCl test")&amp;", pH "&amp;ROUND(fa_pH,1)&amp;"): elemental sulfur or acid can dissolve native lime and release Ca2+ in situ, a significant saving compared with imported gypsum.","Native lime is present, but pH is below "&amp;ROUND(th_pHCALC,1)&amp;" or not measured: confirm pH before choosing the acid route."))))))</f>
        <v>Sodicity not determined.</v>
      </c>
      <c r="H46" s="132"/>
      <c r="I46" s="132"/>
      <c r="J46" s="132"/>
      <c r="K46" s="132"/>
      <c r="L46" s="132"/>
      <c r="M46" s="133"/>
      <c r="P46" s="1" t="s">
        <v>140</v>
      </c>
      <c r="Q46" s="6" t="str">
        <f>IF(ISNUMBER('Section A - Field Checklist'!$H$31),'Section A - Field Checklist'!$H$31,"")</f>
        <v/>
      </c>
      <c r="R46" s="3" t="s">
        <v>141</v>
      </c>
    </row>
    <row r="47" spans="2:18" ht="31.2" customHeight="1" x14ac:dyDescent="0.3">
      <c r="B47" s="142" t="s">
        <v>142</v>
      </c>
      <c r="C47" s="132"/>
      <c r="D47" s="133"/>
      <c r="E47" s="155" t="str">
        <f>IF(fa_SHALLOW="","DATA NEEDED",IF(fa_SHALLOW=0,"CLEAR",IF(fa_K="","DATA NEEDED",IF(fa_K&lt;th_K,"WARNING","CLEAR"))))</f>
        <v>DATA NEEDED</v>
      </c>
      <c r="F47" s="133"/>
      <c r="G47" s="157" t="str">
        <f>IF(fa_SHALLOW="","Groundwater depth not measured.",IF(fa_SHALLOW=0,"No drainage requirement at the current groundwater depth.",IF(fa_K="","Drainage is indicated but K is missing: Hooghoudt drain spacing cannot be engineered.",IF(fa_K&lt;th_K,"Drainage is needed (groundwater "&amp;ROUND(fa_GWD,2)&amp;" m) but subsoil K is only "&amp;ROUND(fa_K,2)&amp;" m/day (&lt; "&amp;ROUND(th_K,2)&amp;"). Pipe drains will be uneconomical without prior deep ripping or structural conditioning.","Subsoil K = "&amp;ROUND(fa_K,2)&amp;" m/day is adequate for subsurface drain design (Hooghoudt)."))))</f>
        <v>Groundwater depth not measured.</v>
      </c>
      <c r="H47" s="132"/>
      <c r="I47" s="132"/>
      <c r="J47" s="132"/>
      <c r="K47" s="132"/>
      <c r="L47" s="132"/>
      <c r="M47" s="133"/>
      <c r="P47" s="1" t="s">
        <v>143</v>
      </c>
      <c r="Q47" s="6" t="str">
        <f>IF(ISNUMBER(fa_SOD),IF(fa_SOD_src="ESP",IF(fa_ESP&gt;=15,1,0),IF(fa_SOD&gt;=th_SOD,1,0)),IF(AND(ISNUMBER(fa_pH),fa_pH&gt;th_pHSOD),1,""))</f>
        <v/>
      </c>
      <c r="R47" s="3" t="s">
        <v>144</v>
      </c>
    </row>
    <row r="48" spans="2:18" ht="24.6" customHeight="1" x14ac:dyDescent="0.3">
      <c r="P48" s="1" t="s">
        <v>145</v>
      </c>
      <c r="Q48" s="6" t="str">
        <f>IF(ISNUMBER('Section A - Field Checklist'!$H$10),'Section A - Field Checklist'!$H$10,IF(ISNUMBER('Section A - Field Checklist'!$H$11),'Section A - Field Checklist'!$H$11/th_TDS,""))</f>
        <v/>
      </c>
      <c r="R48" s="3" t="s">
        <v>146</v>
      </c>
    </row>
    <row r="49" spans="2:18" ht="21.75" customHeight="1" x14ac:dyDescent="0.3">
      <c r="B49" s="141" t="s">
        <v>147</v>
      </c>
      <c r="C49" s="137"/>
      <c r="D49" s="137"/>
      <c r="E49" s="137"/>
      <c r="F49" s="137"/>
      <c r="G49" s="137"/>
      <c r="H49" s="137"/>
      <c r="I49" s="137"/>
      <c r="J49" s="137"/>
      <c r="K49" s="137"/>
      <c r="L49" s="137"/>
      <c r="M49" s="137"/>
      <c r="P49" s="1" t="s">
        <v>148</v>
      </c>
      <c r="Q49" s="6" t="str">
        <f>IF(ISNUMBER('Section A - Field Checklist'!$H$10),"Primary",IF(ISNUMBER('Section A - Field Checklist'!$H$11),"Fallback",""))</f>
        <v/>
      </c>
      <c r="R49" s="3" t="s">
        <v>149</v>
      </c>
    </row>
    <row r="50" spans="2:18" ht="19.5" customHeight="1" x14ac:dyDescent="0.3">
      <c r="B50" s="160" t="str">
        <f>IF(fa_NSEL=0,"No measures selected yet. Open the 'Section C - Measure Selection' sheet and set 'Selected for Implementation?' to YES.",fa_NSEL&amp;" measure(s) selected for implementation.")</f>
        <v>No measures selected yet. Open the 'Section C - Measure Selection' sheet and set 'Selected for Implementation?' to YES.</v>
      </c>
      <c r="C50" s="137"/>
      <c r="D50" s="137"/>
      <c r="E50" s="137"/>
      <c r="F50" s="137"/>
      <c r="G50" s="137"/>
      <c r="H50" s="137"/>
      <c r="I50" s="137"/>
      <c r="J50" s="137"/>
      <c r="K50" s="137"/>
      <c r="L50" s="137"/>
      <c r="M50" s="137"/>
      <c r="P50" s="1" t="s">
        <v>150</v>
      </c>
      <c r="Q50" s="6" t="str">
        <f>IF(ISNUMBER('Section A - Field Checklist'!$H$12),'Section A - Field Checklist'!$H$12,"")</f>
        <v/>
      </c>
      <c r="R50" s="3" t="s">
        <v>151</v>
      </c>
    </row>
    <row r="51" spans="2:18" ht="24" customHeight="1" x14ac:dyDescent="0.3">
      <c r="B51" s="135" t="s">
        <v>152</v>
      </c>
      <c r="C51" s="132"/>
      <c r="D51" s="133"/>
      <c r="E51" s="135" t="s">
        <v>153</v>
      </c>
      <c r="F51" s="132"/>
      <c r="G51" s="133"/>
      <c r="H51" s="135" t="s">
        <v>154</v>
      </c>
      <c r="I51" s="132"/>
      <c r="J51" s="132"/>
      <c r="K51" s="132"/>
      <c r="L51" s="132"/>
      <c r="M51" s="133"/>
      <c r="P51" s="1" t="s">
        <v>155</v>
      </c>
      <c r="Q51" s="6" t="str">
        <f>IF(ISNUMBER(fa_GWD),IF(fa_GWD&lt;th_GW,1,0),"")</f>
        <v/>
      </c>
      <c r="R51" s="3" t="s">
        <v>156</v>
      </c>
    </row>
    <row r="52" spans="2:18" ht="27.75" customHeight="1" x14ac:dyDescent="0.3">
      <c r="B52" s="131" t="str">
        <f>IF(1&gt;fa_NSEL,"",INDEX('Section C - Measure Selection'!$A$4:$A$24,MATCH(1,$Q$70:$Q$90,0)))</f>
        <v/>
      </c>
      <c r="C52" s="132"/>
      <c r="D52" s="133"/>
      <c r="E52" s="147" t="str">
        <f>IF(1&gt;fa_NSEL,"",INDEX('Section C - Measure Selection'!$B$4:$B$24,MATCH(1,$Q$70:$Q$90,0)))</f>
        <v/>
      </c>
      <c r="F52" s="132"/>
      <c r="G52" s="133"/>
      <c r="H52" s="131" t="str">
        <f>IF(1&gt;fa_NSEL,"",INDEX('Section C - Measure Selection'!$K$4:$K$24,MATCH(1,$Q$70:$Q$90,0)))</f>
        <v/>
      </c>
      <c r="I52" s="132"/>
      <c r="J52" s="132"/>
      <c r="K52" s="132"/>
      <c r="L52" s="132"/>
      <c r="M52" s="133"/>
      <c r="P52" s="1" t="s">
        <v>157</v>
      </c>
      <c r="Q52" s="6" t="str">
        <f>IF(ISNUMBER('Section A - Field Checklist'!$H$32),'Section A - Field Checklist'!$H$32,"")</f>
        <v/>
      </c>
      <c r="R52" s="3" t="s">
        <v>158</v>
      </c>
    </row>
    <row r="53" spans="2:18" ht="27.75" customHeight="1" x14ac:dyDescent="0.3">
      <c r="B53" s="131" t="str">
        <f>IF(2&gt;fa_NSEL,"",INDEX('Section C - Measure Selection'!$A$4:$A$24,MATCH(2,$Q$70:$Q$90,0)))</f>
        <v/>
      </c>
      <c r="C53" s="132"/>
      <c r="D53" s="133"/>
      <c r="E53" s="147" t="str">
        <f>IF(2&gt;fa_NSEL,"",INDEX('Section C - Measure Selection'!$B$4:$B$24,MATCH(2,$Q$70:$Q$90,0)))</f>
        <v/>
      </c>
      <c r="F53" s="132"/>
      <c r="G53" s="133"/>
      <c r="H53" s="131" t="str">
        <f>IF(2&gt;fa_NSEL,"",INDEX('Section C - Measure Selection'!$K$4:$K$24,MATCH(2,$Q$70:$Q$90,0)))</f>
        <v/>
      </c>
      <c r="I53" s="132"/>
      <c r="J53" s="132"/>
      <c r="K53" s="132"/>
      <c r="L53" s="132"/>
      <c r="M53" s="133"/>
      <c r="P53" s="1" t="s">
        <v>159</v>
      </c>
      <c r="Q53" s="6" t="str">
        <f>IF(ISNUMBER('Section A - Field Checklist'!$H$15),'Section A - Field Checklist'!$H$15,IF(ISNUMBER('Section A - Field Checklist'!$H$16),'Section A - Field Checklist'!$H$16,""))</f>
        <v/>
      </c>
      <c r="R53" s="3" t="s">
        <v>160</v>
      </c>
    </row>
    <row r="54" spans="2:18" ht="27.75" customHeight="1" x14ac:dyDescent="0.3">
      <c r="B54" s="131" t="str">
        <f>IF(3&gt;fa_NSEL,"",INDEX('Section C - Measure Selection'!$A$4:$A$24,MATCH(3,$Q$70:$Q$90,0)))</f>
        <v/>
      </c>
      <c r="C54" s="132"/>
      <c r="D54" s="133"/>
      <c r="E54" s="147" t="str">
        <f>IF(3&gt;fa_NSEL,"",INDEX('Section C - Measure Selection'!$B$4:$B$24,MATCH(3,$Q$70:$Q$90,0)))</f>
        <v/>
      </c>
      <c r="F54" s="132"/>
      <c r="G54" s="133"/>
      <c r="H54" s="131" t="str">
        <f>IF(3&gt;fa_NSEL,"",INDEX('Section C - Measure Selection'!$K$4:$K$24,MATCH(3,$Q$70:$Q$90,0)))</f>
        <v/>
      </c>
      <c r="I54" s="132"/>
      <c r="J54" s="132"/>
      <c r="K54" s="132"/>
      <c r="L54" s="132"/>
      <c r="M54" s="133"/>
      <c r="P54" s="1" t="s">
        <v>161</v>
      </c>
      <c r="Q54" s="6" t="str">
        <f>IF(ISNUMBER('Section A - Field Checklist'!$H$25),'Section A - Field Checklist'!$H$25,IF(ISNUMBER('Section A - Field Checklist'!$H$26),'Section A - Field Checklist'!$H$26,""))</f>
        <v/>
      </c>
      <c r="R54" s="3" t="s">
        <v>162</v>
      </c>
    </row>
    <row r="55" spans="2:18" ht="27.75" customHeight="1" x14ac:dyDescent="0.3">
      <c r="B55" s="131" t="str">
        <f>IF(4&gt;fa_NSEL,"",INDEX('Section C - Measure Selection'!$A$4:$A$24,MATCH(4,$Q$70:$Q$90,0)))</f>
        <v/>
      </c>
      <c r="C55" s="132"/>
      <c r="D55" s="133"/>
      <c r="E55" s="147" t="str">
        <f>IF(4&gt;fa_NSEL,"",INDEX('Section C - Measure Selection'!$B$4:$B$24,MATCH(4,$Q$70:$Q$90,0)))</f>
        <v/>
      </c>
      <c r="F55" s="132"/>
      <c r="G55" s="133"/>
      <c r="H55" s="131" t="str">
        <f>IF(4&gt;fa_NSEL,"",INDEX('Section C - Measure Selection'!$K$4:$K$24,MATCH(4,$Q$70:$Q$90,0)))</f>
        <v/>
      </c>
      <c r="I55" s="132"/>
      <c r="J55" s="132"/>
      <c r="K55" s="132"/>
      <c r="L55" s="132"/>
      <c r="M55" s="133"/>
      <c r="P55" s="1" t="s">
        <v>163</v>
      </c>
      <c r="Q55" s="6" t="str">
        <f>IF(ISNUMBER('Section A - Field Checklist'!$H$23),'Section A - Field Checklist'!$H$23,IF(ISNUMBER('Section A - Field Checklist'!$H$24),'Section A - Field Checklist'!$H$24,""))</f>
        <v/>
      </c>
      <c r="R55" s="3" t="s">
        <v>164</v>
      </c>
    </row>
    <row r="56" spans="2:18" ht="27.75" customHeight="1" x14ac:dyDescent="0.3">
      <c r="B56" s="131" t="str">
        <f>IF(5&gt;fa_NSEL,"",INDEX('Section C - Measure Selection'!$A$4:$A$24,MATCH(5,$Q$70:$Q$90,0)))</f>
        <v/>
      </c>
      <c r="C56" s="132"/>
      <c r="D56" s="133"/>
      <c r="E56" s="147" t="str">
        <f>IF(5&gt;fa_NSEL,"",INDEX('Section C - Measure Selection'!$B$4:$B$24,MATCH(5,$Q$70:$Q$90,0)))</f>
        <v/>
      </c>
      <c r="F56" s="132"/>
      <c r="G56" s="133"/>
      <c r="H56" s="131" t="str">
        <f>IF(5&gt;fa_NSEL,"",INDEX('Section C - Measure Selection'!$K$4:$K$24,MATCH(5,$Q$70:$Q$90,0)))</f>
        <v/>
      </c>
      <c r="I56" s="132"/>
      <c r="J56" s="132"/>
      <c r="K56" s="132"/>
      <c r="L56" s="132"/>
      <c r="M56" s="133"/>
      <c r="P56" s="1" t="s">
        <v>165</v>
      </c>
      <c r="Q56" s="6" t="str">
        <f>IF(ISNUMBER('Section A - Field Checklist'!$H$27),'Section A - Field Checklist'!$H$27,"")</f>
        <v/>
      </c>
      <c r="R56" s="3" t="s">
        <v>166</v>
      </c>
    </row>
    <row r="57" spans="2:18" ht="27.75" customHeight="1" x14ac:dyDescent="0.3">
      <c r="B57" s="131" t="str">
        <f>IF(6&gt;fa_NSEL,"",INDEX('Section C - Measure Selection'!$A$4:$A$24,MATCH(6,$Q$70:$Q$90,0)))</f>
        <v/>
      </c>
      <c r="C57" s="132"/>
      <c r="D57" s="133"/>
      <c r="E57" s="147" t="str">
        <f>IF(6&gt;fa_NSEL,"",INDEX('Section C - Measure Selection'!$B$4:$B$24,MATCH(6,$Q$70:$Q$90,0)))</f>
        <v/>
      </c>
      <c r="F57" s="132"/>
      <c r="G57" s="133"/>
      <c r="H57" s="131" t="str">
        <f>IF(6&gt;fa_NSEL,"",INDEX('Section C - Measure Selection'!$K$4:$K$24,MATCH(6,$Q$70:$Q$90,0)))</f>
        <v/>
      </c>
      <c r="I57" s="132"/>
      <c r="J57" s="132"/>
      <c r="K57" s="132"/>
      <c r="L57" s="132"/>
      <c r="M57" s="133"/>
      <c r="P57" s="1" t="s">
        <v>167</v>
      </c>
      <c r="Q57" s="6" t="str">
        <f>IF(ISNUMBER('Section A - Field Checklist'!$H$27),IF('Section A - Field Checklist'!$H$27&gt;=th_LIME,1,0),IF(LEN(TRIM('Section A - Field Checklist'!$H$28&amp;""))=0,"",IF(OR(ISNUMBER(SEARCH("strong",'Section A - Field Checklist'!$H$28)),ISNUMBER(SEARCH("violent",'Section A - Field Checklist'!$H$28)),ISNUMBER(SEARCH("high",'Section A - Field Checklist'!$H$28))),1,IF(OR(ISNUMBER(SEARCH("non",'Section A - Field Checklist'!$H$28)),ISNUMBER(SEARCH("nil",'Section A - Field Checklist'!$H$28)),ISNUMBER(SEARCH("absent",'Section A - Field Checklist'!$H$28)),LOWER(TRIM('Section A - Field Checklist'!$H$28&amp;""))="no"),0,""))))</f>
        <v/>
      </c>
      <c r="R57" s="3" t="s">
        <v>168</v>
      </c>
    </row>
    <row r="58" spans="2:18" ht="27.75" customHeight="1" x14ac:dyDescent="0.3">
      <c r="B58" s="131" t="str">
        <f>IF(7&gt;fa_NSEL,"",INDEX('Section C - Measure Selection'!$A$4:$A$24,MATCH(7,$Q$70:$Q$90,0)))</f>
        <v/>
      </c>
      <c r="C58" s="132"/>
      <c r="D58" s="133"/>
      <c r="E58" s="147" t="str">
        <f>IF(7&gt;fa_NSEL,"",INDEX('Section C - Measure Selection'!$B$4:$B$24,MATCH(7,$Q$70:$Q$90,0)))</f>
        <v/>
      </c>
      <c r="F58" s="132"/>
      <c r="G58" s="133"/>
      <c r="H58" s="131" t="str">
        <f>IF(7&gt;fa_NSEL,"",INDEX('Section C - Measure Selection'!$K$4:$K$24,MATCH(7,$Q$70:$Q$90,0)))</f>
        <v/>
      </c>
      <c r="I58" s="132"/>
      <c r="J58" s="132"/>
      <c r="K58" s="132"/>
      <c r="L58" s="132"/>
      <c r="M58" s="133"/>
      <c r="P58" s="1" t="s">
        <v>169</v>
      </c>
      <c r="Q58" s="6" t="str">
        <f>IF(ISNUMBER('Section A - Field Checklist'!$H$29),'Section A - Field Checklist'!$H$29,"")</f>
        <v/>
      </c>
      <c r="R58" s="3" t="s">
        <v>170</v>
      </c>
    </row>
    <row r="59" spans="2:18" ht="27.75" customHeight="1" x14ac:dyDescent="0.3">
      <c r="B59" s="131" t="str">
        <f>IF(8&gt;fa_NSEL,"",INDEX('Section C - Measure Selection'!$A$4:$A$24,MATCH(8,$Q$70:$Q$90,0)))</f>
        <v/>
      </c>
      <c r="C59" s="132"/>
      <c r="D59" s="133"/>
      <c r="E59" s="147" t="str">
        <f>IF(8&gt;fa_NSEL,"",INDEX('Section C - Measure Selection'!$B$4:$B$24,MATCH(8,$Q$70:$Q$90,0)))</f>
        <v/>
      </c>
      <c r="F59" s="132"/>
      <c r="G59" s="133"/>
      <c r="H59" s="131" t="str">
        <f>IF(8&gt;fa_NSEL,"",INDEX('Section C - Measure Selection'!$K$4:$K$24,MATCH(8,$Q$70:$Q$90,0)))</f>
        <v/>
      </c>
      <c r="I59" s="132"/>
      <c r="J59" s="132"/>
      <c r="K59" s="132"/>
      <c r="L59" s="132"/>
      <c r="M59" s="133"/>
      <c r="P59" s="1" t="s">
        <v>171</v>
      </c>
      <c r="Q59" s="6" t="str">
        <f>IF(ISNUMBER('Section A - Field Checklist'!$H$35),'Section A - Field Checklist'!$H$35,IF(ISNUMBER('Section A - Field Checklist'!$H$36),'Section A - Field Checklist'!$H$36*th_TOC,""))</f>
        <v/>
      </c>
      <c r="R59" s="3" t="s">
        <v>172</v>
      </c>
    </row>
    <row r="60" spans="2:18" ht="27.75" customHeight="1" x14ac:dyDescent="0.3">
      <c r="B60" s="131" t="str">
        <f>IF(9&gt;fa_NSEL,"",INDEX('Section C - Measure Selection'!$A$4:$A$24,MATCH(9,$Q$70:$Q$90,0)))</f>
        <v/>
      </c>
      <c r="C60" s="132"/>
      <c r="D60" s="133"/>
      <c r="E60" s="147" t="str">
        <f>IF(9&gt;fa_NSEL,"",INDEX('Section C - Measure Selection'!$B$4:$B$24,MATCH(9,$Q$70:$Q$90,0)))</f>
        <v/>
      </c>
      <c r="F60" s="132"/>
      <c r="G60" s="133"/>
      <c r="H60" s="131" t="str">
        <f>IF(9&gt;fa_NSEL,"",INDEX('Section C - Measure Selection'!$K$4:$K$24,MATCH(9,$Q$70:$Q$90,0)))</f>
        <v/>
      </c>
      <c r="I60" s="132"/>
      <c r="J60" s="132"/>
      <c r="K60" s="132"/>
      <c r="L60" s="132"/>
      <c r="M60" s="133"/>
      <c r="P60" s="1" t="s">
        <v>173</v>
      </c>
      <c r="Q60" s="6" t="str">
        <f>IF(ISNUMBER('Section A - Field Checklist'!$H$37),'Section A - Field Checklist'!$H$37,"")</f>
        <v/>
      </c>
      <c r="R60" s="3" t="s">
        <v>174</v>
      </c>
    </row>
    <row r="61" spans="2:18" ht="27.75" customHeight="1" x14ac:dyDescent="0.3">
      <c r="B61" s="131" t="str">
        <f>IF(10&gt;fa_NSEL,"",INDEX('Section C - Measure Selection'!$A$4:$A$24,MATCH(10,$Q$70:$Q$90,0)))</f>
        <v/>
      </c>
      <c r="C61" s="132"/>
      <c r="D61" s="133"/>
      <c r="E61" s="147" t="str">
        <f>IF(10&gt;fa_NSEL,"",INDEX('Section C - Measure Selection'!$B$4:$B$24,MATCH(10,$Q$70:$Q$90,0)))</f>
        <v/>
      </c>
      <c r="F61" s="132"/>
      <c r="G61" s="133"/>
      <c r="H61" s="131" t="str">
        <f>IF(10&gt;fa_NSEL,"",INDEX('Section C - Measure Selection'!$K$4:$K$24,MATCH(10,$Q$70:$Q$90,0)))</f>
        <v/>
      </c>
      <c r="I61" s="132"/>
      <c r="J61" s="132"/>
      <c r="K61" s="132"/>
      <c r="L61" s="132"/>
      <c r="M61" s="133"/>
      <c r="P61" s="1" t="s">
        <v>175</v>
      </c>
      <c r="Q61" s="6" t="str">
        <f>IF(ISNUMBER('Section A - Field Checklist'!$H$39),IF('Section A - Field Checklist'!$H$39&lt;100,"Low",IF('Section A - Field Checklist'!$H$39&lt;=500,"Medium","High")),IF(ISNUMBER(SEARCH("low",'Section A - Field Checklist'!$H$39&amp;"")),"Low",IF(ISNUMBER(SEARCH("high",'Section A - Field Checklist'!$H$39&amp;"")),"High",IF(ISNUMBER(SEARCH("med",'Section A - Field Checklist'!$H$39&amp;"")),"Medium",""))))</f>
        <v/>
      </c>
      <c r="R61" s="3" t="s">
        <v>176</v>
      </c>
    </row>
    <row r="62" spans="2:18" ht="27.75" customHeight="1" x14ac:dyDescent="0.3">
      <c r="B62" s="131" t="str">
        <f>IF(11&gt;fa_NSEL,"",INDEX('Section C - Measure Selection'!$A$4:$A$24,MATCH(11,$Q$70:$Q$90,0)))</f>
        <v/>
      </c>
      <c r="C62" s="132"/>
      <c r="D62" s="133"/>
      <c r="E62" s="147" t="str">
        <f>IF(11&gt;fa_NSEL,"",INDEX('Section C - Measure Selection'!$B$4:$B$24,MATCH(11,$Q$70:$Q$90,0)))</f>
        <v/>
      </c>
      <c r="F62" s="132"/>
      <c r="G62" s="133"/>
      <c r="H62" s="131" t="str">
        <f>IF(11&gt;fa_NSEL,"",INDEX('Section C - Measure Selection'!$K$4:$K$24,MATCH(11,$Q$70:$Q$90,0)))</f>
        <v/>
      </c>
      <c r="I62" s="132"/>
      <c r="J62" s="132"/>
      <c r="K62" s="132"/>
      <c r="L62" s="132"/>
      <c r="M62" s="133"/>
      <c r="P62" s="1" t="s">
        <v>177</v>
      </c>
      <c r="Q62" s="6" t="str">
        <f>IF(ISNUMBER('Section A - Field Checklist'!$H$19),'Section A - Field Checklist'!$H$19,"")</f>
        <v/>
      </c>
      <c r="R62" s="3" t="s">
        <v>178</v>
      </c>
    </row>
    <row r="63" spans="2:18" ht="27.75" customHeight="1" x14ac:dyDescent="0.3">
      <c r="B63" s="131" t="str">
        <f>IF(12&gt;fa_NSEL,"",INDEX('Section C - Measure Selection'!$A$4:$A$24,MATCH(12,$Q$70:$Q$90,0)))</f>
        <v/>
      </c>
      <c r="C63" s="132"/>
      <c r="D63" s="133"/>
      <c r="E63" s="147" t="str">
        <f>IF(12&gt;fa_NSEL,"",INDEX('Section C - Measure Selection'!$B$4:$B$24,MATCH(12,$Q$70:$Q$90,0)))</f>
        <v/>
      </c>
      <c r="F63" s="132"/>
      <c r="G63" s="133"/>
      <c r="H63" s="131" t="str">
        <f>IF(12&gt;fa_NSEL,"",INDEX('Section C - Measure Selection'!$K$4:$K$24,MATCH(12,$Q$70:$Q$90,0)))</f>
        <v/>
      </c>
      <c r="I63" s="132"/>
      <c r="J63" s="132"/>
      <c r="K63" s="132"/>
      <c r="L63" s="132"/>
      <c r="M63" s="133"/>
      <c r="P63" s="1" t="s">
        <v>179</v>
      </c>
      <c r="Q63" s="6">
        <f>IF(AND(LEN(TRIM('Section A - Field Checklist'!$H$20&amp;""))&gt;0,LOWER(TRIM('Section A - Field Checklist'!$H$20&amp;""))&lt;&gt;"unknown"),1,0)</f>
        <v>0</v>
      </c>
      <c r="R63" s="3" t="s">
        <v>180</v>
      </c>
    </row>
    <row r="64" spans="2:18" ht="27.75" customHeight="1" x14ac:dyDescent="0.3">
      <c r="B64" s="131" t="str">
        <f>IF(13&gt;fa_NSEL,"",INDEX('Section C - Measure Selection'!$A$4:$A$24,MATCH(13,$Q$70:$Q$90,0)))</f>
        <v/>
      </c>
      <c r="C64" s="132"/>
      <c r="D64" s="133"/>
      <c r="E64" s="147" t="str">
        <f>IF(13&gt;fa_NSEL,"",INDEX('Section C - Measure Selection'!$B$4:$B$24,MATCH(13,$Q$70:$Q$90,0)))</f>
        <v/>
      </c>
      <c r="F64" s="132"/>
      <c r="G64" s="133"/>
      <c r="H64" s="131" t="str">
        <f>IF(13&gt;fa_NSEL,"",INDEX('Section C - Measure Selection'!$K$4:$K$24,MATCH(13,$Q$70:$Q$90,0)))</f>
        <v/>
      </c>
      <c r="I64" s="132"/>
      <c r="J64" s="132"/>
      <c r="K64" s="132"/>
      <c r="L64" s="132"/>
      <c r="M64" s="133"/>
      <c r="P64" s="1" t="s">
        <v>181</v>
      </c>
      <c r="Q64" s="6" t="str">
        <f>IF(OR(fa_ECw="",fa_SOD=""),"",IF(fa_SOD&lt;3,IF(fa_ECw&gt;0.7,0,IF(fa_ECw&gt;=0.2,1,2)),IF(fa_SOD&lt;6,IF(fa_ECw&gt;1.2,0,IF(fa_ECw&gt;=0.3,1,2)),IF(fa_SOD&lt;12,IF(fa_ECw&gt;1.9,0,IF(fa_ECw&gt;=0.5,1,2)),IF(fa_SOD&lt;20,IF(fa_ECw&gt;2.9,0,IF(fa_ECw&gt;=1.3,1,2)),IF(fa_ECw&gt;5,0,IF(fa_ECw&gt;=2.9,1,2)))))))</f>
        <v/>
      </c>
      <c r="R64" s="3" t="s">
        <v>182</v>
      </c>
    </row>
    <row r="65" spans="2:18" ht="27.75" customHeight="1" x14ac:dyDescent="0.3">
      <c r="B65" s="131" t="str">
        <f>IF(14&gt;fa_NSEL,"",INDEX('Section C - Measure Selection'!$A$4:$A$24,MATCH(14,$Q$70:$Q$90,0)))</f>
        <v/>
      </c>
      <c r="C65" s="132"/>
      <c r="D65" s="133"/>
      <c r="E65" s="147" t="str">
        <f>IF(14&gt;fa_NSEL,"",INDEX('Section C - Measure Selection'!$B$4:$B$24,MATCH(14,$Q$70:$Q$90,0)))</f>
        <v/>
      </c>
      <c r="F65" s="132"/>
      <c r="G65" s="133"/>
      <c r="H65" s="131" t="str">
        <f>IF(14&gt;fa_NSEL,"",INDEX('Section C - Measure Selection'!$K$4:$K$24,MATCH(14,$Q$70:$Q$90,0)))</f>
        <v/>
      </c>
      <c r="I65" s="132"/>
      <c r="J65" s="132"/>
      <c r="K65" s="132"/>
      <c r="L65" s="132"/>
      <c r="M65" s="133"/>
      <c r="P65" s="1" t="s">
        <v>183</v>
      </c>
      <c r="Q65" s="6" t="str">
        <f>IF(fa_ECe="","Insufficient data",IF(fa_SOD="",IF(fa_SODIC=1,IF(fa_ECe&gt;=th_SAL,"Probably Saline-Sodic (pH only, not confirmed)","Probably Sodic (pH only, not confirmed)"),IF(fa_ECe&gt;=th_SAL,"Saline Soil, sodicity undetermined","Sodicity undetermined")),IF(fa_ECe&gt;=th_SAL,IF(fa_SODIC=1,"Saline-Sodic Soil","Saline Soil ('White Alkali')"),IF(fa_SODIC=1,"Sodic Soil ('Black Alkali')","Normal Soil"))))</f>
        <v>Insufficient data</v>
      </c>
      <c r="R65" s="3" t="s">
        <v>184</v>
      </c>
    </row>
    <row r="66" spans="2:18" ht="27.75" customHeight="1" x14ac:dyDescent="0.3">
      <c r="B66" s="131" t="str">
        <f>IF(15&gt;fa_NSEL,"",INDEX('Section C - Measure Selection'!$A$4:$A$24,MATCH(15,$Q$70:$Q$90,0)))</f>
        <v/>
      </c>
      <c r="C66" s="132"/>
      <c r="D66" s="133"/>
      <c r="E66" s="147" t="str">
        <f>IF(15&gt;fa_NSEL,"",INDEX('Section C - Measure Selection'!$B$4:$B$24,MATCH(15,$Q$70:$Q$90,0)))</f>
        <v/>
      </c>
      <c r="F66" s="132"/>
      <c r="G66" s="133"/>
      <c r="H66" s="131" t="str">
        <f>IF(15&gt;fa_NSEL,"",INDEX('Section C - Measure Selection'!$K$4:$K$24,MATCH(15,$Q$70:$Q$90,0)))</f>
        <v/>
      </c>
      <c r="I66" s="132"/>
      <c r="J66" s="132"/>
      <c r="K66" s="132"/>
      <c r="L66" s="132"/>
      <c r="M66" s="133"/>
      <c r="P66" s="1" t="s">
        <v>185</v>
      </c>
      <c r="Q66" s="6">
        <f>IF(OR(fa_ECe_src="Fallback",fa_SOD_src="SAR",fa_SOD_src="ESP"),1,0)</f>
        <v>0</v>
      </c>
      <c r="R66" s="3" t="s">
        <v>186</v>
      </c>
    </row>
    <row r="67" spans="2:18" ht="27.75" customHeight="1" x14ac:dyDescent="0.3">
      <c r="B67" s="131" t="str">
        <f>IF(16&gt;fa_NSEL,"",INDEX('Section C - Measure Selection'!$A$4:$A$24,MATCH(16,$Q$70:$Q$90,0)))</f>
        <v/>
      </c>
      <c r="C67" s="132"/>
      <c r="D67" s="133"/>
      <c r="E67" s="147" t="str">
        <f>IF(16&gt;fa_NSEL,"",INDEX('Section C - Measure Selection'!$B$4:$B$24,MATCH(16,$Q$70:$Q$90,0)))</f>
        <v/>
      </c>
      <c r="F67" s="132"/>
      <c r="G67" s="133"/>
      <c r="H67" s="131" t="str">
        <f>IF(16&gt;fa_NSEL,"",INDEX('Section C - Measure Selection'!$K$4:$K$24,MATCH(16,$Q$70:$Q$90,0)))</f>
        <v/>
      </c>
      <c r="I67" s="132"/>
      <c r="J67" s="132"/>
      <c r="K67" s="132"/>
      <c r="L67" s="132"/>
      <c r="M67" s="133"/>
      <c r="P67" s="1" t="s">
        <v>187</v>
      </c>
      <c r="Q67" s="6">
        <f>IF(fa_RESET=1,0,COUNTIF('Section C - Measure Selection'!$P$4:$P$24,"Selected") + COUNTIF('Section C - Measure Selection'!$P$4:$P$24,TRUE()))</f>
        <v>0</v>
      </c>
      <c r="R67" s="3" t="s">
        <v>188</v>
      </c>
    </row>
    <row r="68" spans="2:18" ht="27.75" customHeight="1" x14ac:dyDescent="0.3">
      <c r="B68" s="131" t="str">
        <f>IF(17&gt;fa_NSEL,"",INDEX('Section C - Measure Selection'!$A$4:$A$24,MATCH(17,$Q$70:$Q$90,0)))</f>
        <v/>
      </c>
      <c r="C68" s="132"/>
      <c r="D68" s="133"/>
      <c r="E68" s="147" t="str">
        <f>IF(17&gt;fa_NSEL,"",INDEX('Section C - Measure Selection'!$B$4:$B$24,MATCH(17,$Q$70:$Q$90,0)))</f>
        <v/>
      </c>
      <c r="F68" s="132"/>
      <c r="G68" s="133"/>
      <c r="H68" s="131" t="str">
        <f>IF(17&gt;fa_NSEL,"",INDEX('Section C - Measure Selection'!$K$4:$K$24,MATCH(17,$Q$70:$Q$90,0)))</f>
        <v/>
      </c>
      <c r="I68" s="132"/>
      <c r="J68" s="132"/>
      <c r="K68" s="132"/>
      <c r="L68" s="132"/>
      <c r="M68" s="133"/>
      <c r="P68" s="1" t="s">
        <v>189</v>
      </c>
      <c r="Q68" s="6">
        <f>IF($K$2="RESET (blank all results)",1,0)</f>
        <v>0</v>
      </c>
      <c r="R68" s="3" t="s">
        <v>190</v>
      </c>
    </row>
    <row r="69" spans="2:18" ht="27.75" customHeight="1" x14ac:dyDescent="0.3">
      <c r="B69" s="131" t="str">
        <f>IF(18&gt;fa_NSEL,"",INDEX('Section C - Measure Selection'!$A$4:$A$24,MATCH(18,$Q$70:$Q$90,0)))</f>
        <v/>
      </c>
      <c r="C69" s="132"/>
      <c r="D69" s="133"/>
      <c r="E69" s="147" t="str">
        <f>IF(18&gt;fa_NSEL,"",INDEX('Section C - Measure Selection'!$B$4:$B$24,MATCH(18,$Q$70:$Q$90,0)))</f>
        <v/>
      </c>
      <c r="F69" s="132"/>
      <c r="G69" s="133"/>
      <c r="H69" s="131" t="str">
        <f>IF(18&gt;fa_NSEL,"",INDEX('Section C - Measure Selection'!$K$4:$K$24,MATCH(18,$Q$70:$Q$90,0)))</f>
        <v/>
      </c>
      <c r="I69" s="132"/>
      <c r="J69" s="132"/>
      <c r="K69" s="132"/>
      <c r="L69" s="132"/>
      <c r="M69" s="133"/>
      <c r="P69" s="143" t="s">
        <v>191</v>
      </c>
      <c r="Q69" s="137"/>
      <c r="R69" s="137"/>
    </row>
    <row r="70" spans="2:18" ht="27.75" customHeight="1" x14ac:dyDescent="0.3">
      <c r="B70" s="131" t="str">
        <f>IF(19&gt;fa_NSEL,"",INDEX('Section C - Measure Selection'!$A$4:$A$24,MATCH(19,$Q$70:$Q$90,0)))</f>
        <v/>
      </c>
      <c r="C70" s="132"/>
      <c r="D70" s="133"/>
      <c r="E70" s="147" t="str">
        <f>IF(19&gt;fa_NSEL,"",INDEX('Section C - Measure Selection'!$B$4:$B$24,MATCH(19,$Q$70:$Q$90,0)))</f>
        <v/>
      </c>
      <c r="F70" s="132"/>
      <c r="G70" s="133"/>
      <c r="H70" s="131" t="str">
        <f>IF(19&gt;fa_NSEL,"",INDEX('Section C - Measure Selection'!$K$4:$K$24,MATCH(19,$Q$70:$Q$90,0)))</f>
        <v/>
      </c>
      <c r="I70" s="132"/>
      <c r="J70" s="132"/>
      <c r="K70" s="132"/>
      <c r="L70" s="132"/>
      <c r="M70" s="133"/>
      <c r="P70" s="5" t="str">
        <f>'Section C - Measure Selection'!B4</f>
        <v>Subsurface Pipe Drainage (SPD)</v>
      </c>
      <c r="Q70" s="7" t="str">
        <f>IF(fa_RESET=1,"",IF(OR('Section C - Measure Selection'!P4="Selected",'Section C - Measure Selection'!P4=TRUE()), COUNTIF('Section C - Measure Selection'!$P$4:P4,"Selected") + COUNTIF('Section C - Measure Selection'!$P$4:P4,TRUE()), ""))</f>
        <v/>
      </c>
    </row>
    <row r="71" spans="2:18" ht="27.75" customHeight="1" x14ac:dyDescent="0.3">
      <c r="B71" s="131" t="str">
        <f>IF(20&gt;fa_NSEL,"",INDEX('Section C - Measure Selection'!$A$4:$A$24,MATCH(20,$Q$70:$Q$90,0)))</f>
        <v/>
      </c>
      <c r="C71" s="132"/>
      <c r="D71" s="133"/>
      <c r="E71" s="147" t="str">
        <f>IF(20&gt;fa_NSEL,"",INDEX('Section C - Measure Selection'!$B$4:$B$24,MATCH(20,$Q$70:$Q$90,0)))</f>
        <v/>
      </c>
      <c r="F71" s="132"/>
      <c r="G71" s="133"/>
      <c r="H71" s="131" t="str">
        <f>IF(20&gt;fa_NSEL,"",INDEX('Section C - Measure Selection'!$K$4:$K$24,MATCH(20,$Q$70:$Q$90,0)))</f>
        <v/>
      </c>
      <c r="I71" s="132"/>
      <c r="J71" s="132"/>
      <c r="K71" s="132"/>
      <c r="L71" s="132"/>
      <c r="M71" s="133"/>
      <c r="P71" s="5" t="str">
        <f>'Section C - Measure Selection'!B5</f>
        <v>Open Ditch Drainage</v>
      </c>
      <c r="Q71" s="7" t="str">
        <f>IF(fa_RESET=1,"",IF(OR('Section C - Measure Selection'!P5="Selected",'Section C - Measure Selection'!P5=TRUE()), COUNTIF('Section C - Measure Selection'!$P$4:P5,"Selected") + COUNTIF('Section C - Measure Selection'!$P$4:P5,TRUE()), ""))</f>
        <v/>
      </c>
    </row>
    <row r="72" spans="2:18" ht="27.75" customHeight="1" x14ac:dyDescent="0.3">
      <c r="B72" s="131" t="str">
        <f>IF(21&gt;fa_NSEL,"",INDEX('Section C - Measure Selection'!$A$4:$A$24,MATCH(21,$Q$70:$Q$90,0)))</f>
        <v/>
      </c>
      <c r="C72" s="132"/>
      <c r="D72" s="133"/>
      <c r="E72" s="147" t="str">
        <f>IF(21&gt;fa_NSEL,"",INDEX('Section C - Measure Selection'!$B$4:$B$24,MATCH(21,$Q$70:$Q$90,0)))</f>
        <v/>
      </c>
      <c r="F72" s="132"/>
      <c r="G72" s="133"/>
      <c r="H72" s="131" t="str">
        <f>IF(21&gt;fa_NSEL,"",INDEX('Section C - Measure Selection'!$K$4:$K$24,MATCH(21,$Q$70:$Q$90,0)))</f>
        <v/>
      </c>
      <c r="I72" s="132"/>
      <c r="J72" s="132"/>
      <c r="K72" s="132"/>
      <c r="L72" s="132"/>
      <c r="M72" s="133"/>
      <c r="P72" s="5" t="str">
        <f>'Section C - Measure Selection'!B6</f>
        <v>Vertical Drainage / Tubewells</v>
      </c>
      <c r="Q72" s="7" t="str">
        <f>IF(fa_RESET=1,"",IF(OR('Section C - Measure Selection'!P6="Selected",'Section C - Measure Selection'!P6=TRUE()), COUNTIF('Section C - Measure Selection'!$P$4:P6,"Selected") + COUNTIF('Section C - Measure Selection'!$P$4:P6,TRUE()), ""))</f>
        <v/>
      </c>
    </row>
    <row r="73" spans="2:18" ht="27.75" customHeight="1" x14ac:dyDescent="0.3">
      <c r="P73" s="5" t="str">
        <f>'Section C - Measure Selection'!B7</f>
        <v>Canal Lining</v>
      </c>
      <c r="Q73" s="7" t="str">
        <f>IF(fa_RESET=1,"",IF(OR('Section C - Measure Selection'!P7="Selected",'Section C - Measure Selection'!P7=TRUE()), COUNTIF('Section C - Measure Selection'!$P$4:P7,"Selected") + COUNTIF('Section C - Measure Selection'!$P$4:P7,TRUE()), ""))</f>
        <v/>
      </c>
    </row>
    <row r="74" spans="2:18" ht="27.75" customHeight="1" x14ac:dyDescent="0.3">
      <c r="P74" s="5" t="str">
        <f>'Section C - Measure Selection'!B8</f>
        <v>Deep Ripping / DVRT (Deep Vertical Rotary Tillage)</v>
      </c>
      <c r="Q74" s="7" t="str">
        <f>IF(fa_RESET=1,"",IF(OR('Section C - Measure Selection'!P8="Selected",'Section C - Measure Selection'!P8=TRUE()), COUNTIF('Section C - Measure Selection'!$P$4:P8,"Selected") + COUNTIF('Section C - Measure Selection'!$P$4:P8,TRUE()), ""))</f>
        <v/>
      </c>
    </row>
    <row r="75" spans="2:18" ht="27.75" customHeight="1" x14ac:dyDescent="0.3">
      <c r="P75" s="5" t="str">
        <f>'Section C - Measure Selection'!B9</f>
        <v>Precision Land Leveling (Laser Grading)</v>
      </c>
      <c r="Q75" s="7" t="str">
        <f>IF(fa_RESET=1,"",IF(OR('Section C - Measure Selection'!P9="Selected",'Section C - Measure Selection'!P9=TRUE()), COUNTIF('Section C - Measure Selection'!$P$4:P9,"Selected") + COUNTIF('Section C - Measure Selection'!$P$4:P9,TRUE()), ""))</f>
        <v/>
      </c>
    </row>
    <row r="76" spans="2:18" ht="27.75" customHeight="1" x14ac:dyDescent="0.3">
      <c r="P76" s="5" t="str">
        <f>'Section C - Measure Selection'!B10</f>
        <v>Forced Leaching Regime</v>
      </c>
      <c r="Q76" s="7" t="str">
        <f>IF(fa_RESET=1,"",IF(OR('Section C - Measure Selection'!P10="Selected",'Section C - Measure Selection'!P10=TRUE()), COUNTIF('Section C - Measure Selection'!$P$4:P10,"Selected") + COUNTIF('Section C - Measure Selection'!$P$4:P10,TRUE()), ""))</f>
        <v/>
      </c>
    </row>
    <row r="77" spans="2:18" ht="27.75" customHeight="1" x14ac:dyDescent="0.3">
      <c r="P77" s="5" t="str">
        <f>'Section C - Measure Selection'!B11</f>
        <v>Gypsum Application (CaSO4·2H2O)</v>
      </c>
      <c r="Q77" s="7" t="str">
        <f>IF(fa_RESET=1,"",IF(OR('Section C - Measure Selection'!P11="Selected",'Section C - Measure Selection'!P11=TRUE()), COUNTIF('Section C - Measure Selection'!$P$4:P11,"Selected") + COUNTIF('Section C - Measure Selection'!$P$4:P11,TRUE()), ""))</f>
        <v/>
      </c>
    </row>
    <row r="78" spans="2:18" ht="24" customHeight="1" x14ac:dyDescent="0.3">
      <c r="P78" s="5" t="str">
        <f>'Section C - Measure Selection'!B12</f>
        <v>Soil Acidification (Elemental Sulfur / Acid Injection)</v>
      </c>
      <c r="Q78" s="7" t="str">
        <f>IF(fa_RESET=1,"",IF(OR('Section C - Measure Selection'!P12="Selected",'Section C - Measure Selection'!P12=TRUE()), COUNTIF('Section C - Measure Selection'!$P$4:P12,"Selected") + COUNTIF('Section C - Measure Selection'!$P$4:P12,TRUE()), ""))</f>
        <v/>
      </c>
    </row>
    <row r="79" spans="2:18" ht="24" customHeight="1" x14ac:dyDescent="0.3">
      <c r="P79" s="5" t="str">
        <f>'Section C - Measure Selection'!B13</f>
        <v>Organic Amendments (Compost, Manure, Biochar)</v>
      </c>
      <c r="Q79" s="7" t="str">
        <f>IF(fa_RESET=1,"",IF(OR('Section C - Measure Selection'!P13="Selected",'Section C - Measure Selection'!P13=TRUE()), COUNTIF('Section C - Measure Selection'!$P$4:P13,"Selected") + COUNTIF('Section C - Measure Selection'!$P$4:P13,TRUE()), ""))</f>
        <v/>
      </c>
    </row>
    <row r="80" spans="2:18" x14ac:dyDescent="0.3">
      <c r="P80" s="5" t="str">
        <f>'Section C - Measure Selection'!B14</f>
        <v>Irrigation Water Acidification</v>
      </c>
      <c r="Q80" s="7" t="str">
        <f>IF(fa_RESET=1,"",IF(OR('Section C - Measure Selection'!P14="Selected",'Section C - Measure Selection'!P14=TRUE()), COUNTIF('Section C - Measure Selection'!$P$4:P14,"Selected") + COUNTIF('Section C - Measure Selection'!$P$4:P14,TRUE()), ""))</f>
        <v/>
      </c>
    </row>
    <row r="81" spans="16:17" x14ac:dyDescent="0.3">
      <c r="P81" s="5" t="str">
        <f>'Section C - Measure Selection'!B15</f>
        <v>Mulched Drip Irrigation (MDI)</v>
      </c>
      <c r="Q81" s="7" t="str">
        <f>IF(fa_RESET=1,"",IF(OR('Section C - Measure Selection'!P15="Selected",'Section C - Measure Selection'!P15=TRUE()), COUNTIF('Section C - Measure Selection'!$P$4:P15,"Selected") + COUNTIF('Section C - Measure Selection'!$P$4:P15,TRUE()), ""))</f>
        <v/>
      </c>
    </row>
    <row r="82" spans="16:17" ht="24" customHeight="1" x14ac:dyDescent="0.3">
      <c r="P82" s="5" t="str">
        <f>'Section C - Measure Selection'!B16</f>
        <v>Biosaline Agriculture &amp; Salt-Tolerant Crops</v>
      </c>
      <c r="Q82" s="7" t="str">
        <f>IF(fa_RESET=1,"",IF(OR('Section C - Measure Selection'!P16="Selected",'Section C - Measure Selection'!P16=TRUE()), COUNTIF('Section C - Measure Selection'!$P$4:P16,"Selected") + COUNTIF('Section C - Measure Selection'!$P$4:P16,TRUE()), ""))</f>
        <v/>
      </c>
    </row>
    <row r="83" spans="16:17" ht="24" customHeight="1" x14ac:dyDescent="0.3">
      <c r="P83" s="5" t="str">
        <f>'Section C - Measure Selection'!B17</f>
        <v>Biodrainage (Deep-Rooted Trees)</v>
      </c>
      <c r="Q83" s="7" t="str">
        <f>IF(fa_RESET=1,"",IF(OR('Section C - Measure Selection'!P17="Selected",'Section C - Measure Selection'!P17=TRUE()), COUNTIF('Section C - Measure Selection'!$P$4:P17,"Selected") + COUNTIF('Section C - Measure Selection'!$P$4:P17,TRUE()), ""))</f>
        <v/>
      </c>
    </row>
    <row r="84" spans="16:17" ht="24" customHeight="1" x14ac:dyDescent="0.3">
      <c r="P84" s="5" t="str">
        <f>'Section C - Measure Selection'!B18</f>
        <v>Microbial Bio-Inoculation (PGPR &amp; Mycorrhizae)</v>
      </c>
      <c r="Q84" s="7" t="str">
        <f>IF(fa_RESET=1,"",IF(OR('Section C - Measure Selection'!P18="Selected",'Section C - Measure Selection'!P18=TRUE()), COUNTIF('Section C - Measure Selection'!$P$4:P18,"Selected") + COUNTIF('Section C - Measure Selection'!$P$4:P18,TRUE()), ""))</f>
        <v/>
      </c>
    </row>
    <row r="85" spans="16:17" ht="24" customHeight="1" x14ac:dyDescent="0.3">
      <c r="P85" s="5" t="str">
        <f>'Section C - Measure Selection'!B19</f>
        <v>Summer Fallow Cover &amp; Stubble Retention</v>
      </c>
      <c r="Q85" s="7" t="str">
        <f>IF(fa_RESET=1,"",IF(OR('Section C - Measure Selection'!P19="Selected",'Section C - Measure Selection'!P19=TRUE()), COUNTIF('Section C - Measure Selection'!$P$4:P19,"Selected") + COUNTIF('Section C - Measure Selection'!$P$4:P19,TRUE()), ""))</f>
        <v/>
      </c>
    </row>
    <row r="86" spans="16:17" x14ac:dyDescent="0.3">
      <c r="P86" s="5" t="str">
        <f>'Section C - Measure Selection'!B20</f>
        <v>High-Frequency Drip Irrigation</v>
      </c>
      <c r="Q86" s="7" t="str">
        <f>IF(fa_RESET=1,"",IF(OR('Section C - Measure Selection'!P20="Selected",'Section C - Measure Selection'!P20=TRUE()), COUNTIF('Section C - Measure Selection'!$P$4:P20,"Selected") + COUNTIF('Section C - Measure Selection'!$P$4:P20,TRUE()), ""))</f>
        <v/>
      </c>
    </row>
    <row r="87" spans="16:17" ht="24" customHeight="1" x14ac:dyDescent="0.3">
      <c r="P87" s="5" t="str">
        <f>'Section C - Measure Selection'!B21</f>
        <v>Conjunctive Water Use (Blending / Cyclic Use)</v>
      </c>
      <c r="Q87" s="7" t="str">
        <f>IF(fa_RESET=1,"",IF(OR('Section C - Measure Selection'!P21="Selected",'Section C - Measure Selection'!P21=TRUE()), COUNTIF('Section C - Measure Selection'!$P$4:P21,"Selected") + COUNTIF('Section C - Measure Selection'!$P$4:P21,TRUE()), ""))</f>
        <v/>
      </c>
    </row>
    <row r="88" spans="16:17" ht="24" customHeight="1" x14ac:dyDescent="0.3">
      <c r="P88" s="5" t="str">
        <f>'Section C - Measure Selection'!B22</f>
        <v>Rainwater Harvesting &amp; Managed Infiltration</v>
      </c>
      <c r="Q88" s="7" t="str">
        <f>IF(fa_RESET=1,"",IF(OR('Section C - Measure Selection'!P22="Selected",'Section C - Measure Selection'!P22=TRUE()), COUNTIF('Section C - Measure Selection'!$P$4:P22,"Selected") + COUNTIF('Section C - Measure Selection'!$P$4:P22,TRUE()), ""))</f>
        <v/>
      </c>
    </row>
    <row r="89" spans="16:17" ht="24" customHeight="1" x14ac:dyDescent="0.3">
      <c r="P89" s="5" t="str">
        <f>'Section C - Measure Selection'!B23</f>
        <v>Controlled Drainage &amp; Water Table Management</v>
      </c>
      <c r="Q89" s="7" t="str">
        <f>IF(fa_RESET=1,"",IF(OR('Section C - Measure Selection'!P23="Selected",'Section C - Measure Selection'!P23=TRUE()), COUNTIF('Section C - Measure Selection'!$P$4:P23,"Selected") + COUNTIF('Section C - Measure Selection'!$P$4:P23,TRUE()), ""))</f>
        <v/>
      </c>
    </row>
    <row r="90" spans="16:17" ht="24" customHeight="1" x14ac:dyDescent="0.3">
      <c r="P90" s="5" t="str">
        <f>'Section C - Measure Selection'!B24</f>
        <v>Aquifer Storage and Recovery (ASR)</v>
      </c>
      <c r="Q90" s="7" t="str">
        <f>IF(fa_RESET=1,"",IF(OR('Section C - Measure Selection'!P24="Selected",'Section C - Measure Selection'!P24=TRUE()), COUNTIF('Section C - Measure Selection'!$P$4:P24,"Selected") + COUNTIF('Section C - Measure Selection'!$P$4:P24,TRUE()), ""))</f>
        <v/>
      </c>
    </row>
  </sheetData>
  <mergeCells count="197">
    <mergeCell ref="B71:D71"/>
    <mergeCell ref="C37:D37"/>
    <mergeCell ref="B58:D58"/>
    <mergeCell ref="B52:D52"/>
    <mergeCell ref="G31:H31"/>
    <mergeCell ref="H58:M58"/>
    <mergeCell ref="I31:J31"/>
    <mergeCell ref="B18:M18"/>
    <mergeCell ref="E47:F47"/>
    <mergeCell ref="G47:M47"/>
    <mergeCell ref="B69:D69"/>
    <mergeCell ref="C26:D26"/>
    <mergeCell ref="G44:M44"/>
    <mergeCell ref="C35:D35"/>
    <mergeCell ref="G46:M46"/>
    <mergeCell ref="H57:M57"/>
    <mergeCell ref="K21:M21"/>
    <mergeCell ref="I23:J23"/>
    <mergeCell ref="B50:M50"/>
    <mergeCell ref="C23:D23"/>
    <mergeCell ref="E62:G62"/>
    <mergeCell ref="P1:R1"/>
    <mergeCell ref="B25:M25"/>
    <mergeCell ref="E52:G52"/>
    <mergeCell ref="E67:G67"/>
    <mergeCell ref="I38:J38"/>
    <mergeCell ref="B3:M3"/>
    <mergeCell ref="B1:M1"/>
    <mergeCell ref="K2:M2"/>
    <mergeCell ref="E53:G53"/>
    <mergeCell ref="E45:F45"/>
    <mergeCell ref="B41:M41"/>
    <mergeCell ref="E68:G68"/>
    <mergeCell ref="B63:D63"/>
    <mergeCell ref="E46:F46"/>
    <mergeCell ref="E12:G12"/>
    <mergeCell ref="H66:M66"/>
    <mergeCell ref="G19:H19"/>
    <mergeCell ref="G28:H28"/>
    <mergeCell ref="H12:J12"/>
    <mergeCell ref="I22:J22"/>
    <mergeCell ref="I28:J28"/>
    <mergeCell ref="B40:M40"/>
    <mergeCell ref="B49:M49"/>
    <mergeCell ref="B55:D55"/>
    <mergeCell ref="B64:D64"/>
    <mergeCell ref="K19:M19"/>
    <mergeCell ref="E66:G66"/>
    <mergeCell ref="K28:M28"/>
    <mergeCell ref="G30:H30"/>
    <mergeCell ref="K37:M37"/>
    <mergeCell ref="B66:D66"/>
    <mergeCell ref="G32:H32"/>
    <mergeCell ref="E63:G63"/>
    <mergeCell ref="C34:D34"/>
    <mergeCell ref="E10:G10"/>
    <mergeCell ref="B60:D60"/>
    <mergeCell ref="E13:G13"/>
    <mergeCell ref="K32:M32"/>
    <mergeCell ref="H51:M51"/>
    <mergeCell ref="H63:M63"/>
    <mergeCell ref="P69:R69"/>
    <mergeCell ref="E64:G64"/>
    <mergeCell ref="K26:M26"/>
    <mergeCell ref="B12:D12"/>
    <mergeCell ref="E51:G51"/>
    <mergeCell ref="H68:M68"/>
    <mergeCell ref="E43:F43"/>
    <mergeCell ref="I34:J34"/>
    <mergeCell ref="G45:M45"/>
    <mergeCell ref="B67:D67"/>
    <mergeCell ref="B61:D61"/>
    <mergeCell ref="C33:D33"/>
    <mergeCell ref="G27:H27"/>
    <mergeCell ref="E42:F42"/>
    <mergeCell ref="I27:J27"/>
    <mergeCell ref="G36:H36"/>
    <mergeCell ref="E65:G65"/>
    <mergeCell ref="F16:M16"/>
    <mergeCell ref="B13:D13"/>
    <mergeCell ref="H69:M69"/>
    <mergeCell ref="E44:F44"/>
    <mergeCell ref="C20:D20"/>
    <mergeCell ref="C29:D29"/>
    <mergeCell ref="E11:G11"/>
    <mergeCell ref="G37:H37"/>
    <mergeCell ref="G43:M43"/>
    <mergeCell ref="I37:J37"/>
    <mergeCell ref="B65:D65"/>
    <mergeCell ref="C22:D22"/>
    <mergeCell ref="C31:D31"/>
    <mergeCell ref="B51:D51"/>
    <mergeCell ref="I21:J21"/>
    <mergeCell ref="K38:M38"/>
    <mergeCell ref="C21:D21"/>
    <mergeCell ref="H62:M62"/>
    <mergeCell ref="H64:M64"/>
    <mergeCell ref="G21:H21"/>
    <mergeCell ref="B11:D11"/>
    <mergeCell ref="B42:D42"/>
    <mergeCell ref="C32:D32"/>
    <mergeCell ref="H72:M72"/>
    <mergeCell ref="G38:H38"/>
    <mergeCell ref="I32:J32"/>
    <mergeCell ref="B16:E16"/>
    <mergeCell ref="H13:M13"/>
    <mergeCell ref="K23:M23"/>
    <mergeCell ref="E61:G61"/>
    <mergeCell ref="H65:M65"/>
    <mergeCell ref="E70:G70"/>
    <mergeCell ref="B68:D68"/>
    <mergeCell ref="G42:M42"/>
    <mergeCell ref="E54:G54"/>
    <mergeCell ref="E72:G72"/>
    <mergeCell ref="H71:M71"/>
    <mergeCell ref="B45:D45"/>
    <mergeCell ref="G33:H33"/>
    <mergeCell ref="I33:J33"/>
    <mergeCell ref="E56:G56"/>
    <mergeCell ref="G26:H26"/>
    <mergeCell ref="B47:D47"/>
    <mergeCell ref="E71:G71"/>
    <mergeCell ref="K33:M33"/>
    <mergeCell ref="G35:H35"/>
    <mergeCell ref="H54:M54"/>
    <mergeCell ref="B72:D72"/>
    <mergeCell ref="G20:H20"/>
    <mergeCell ref="B7:M7"/>
    <mergeCell ref="I20:J20"/>
    <mergeCell ref="H55:M55"/>
    <mergeCell ref="K36:M36"/>
    <mergeCell ref="C19:D19"/>
    <mergeCell ref="B56:D56"/>
    <mergeCell ref="C28:D28"/>
    <mergeCell ref="B70:D70"/>
    <mergeCell ref="B43:D43"/>
    <mergeCell ref="K20:M20"/>
    <mergeCell ref="G22:H22"/>
    <mergeCell ref="K29:M29"/>
    <mergeCell ref="K11:M11"/>
    <mergeCell ref="I30:J30"/>
    <mergeCell ref="H59:M59"/>
    <mergeCell ref="C30:D30"/>
    <mergeCell ref="E60:G60"/>
    <mergeCell ref="K22:M22"/>
    <mergeCell ref="E69:G69"/>
    <mergeCell ref="K31:M31"/>
    <mergeCell ref="B8:M8"/>
    <mergeCell ref="H52:M52"/>
    <mergeCell ref="H70:M70"/>
    <mergeCell ref="G23:H23"/>
    <mergeCell ref="B44:D44"/>
    <mergeCell ref="B53:D53"/>
    <mergeCell ref="I26:J26"/>
    <mergeCell ref="H11:J11"/>
    <mergeCell ref="K27:M27"/>
    <mergeCell ref="P37:R37"/>
    <mergeCell ref="E57:G57"/>
    <mergeCell ref="G34:H34"/>
    <mergeCell ref="B15:M15"/>
    <mergeCell ref="C27:D27"/>
    <mergeCell ref="C36:D36"/>
    <mergeCell ref="E58:G58"/>
    <mergeCell ref="B62:D62"/>
    <mergeCell ref="K34:M34"/>
    <mergeCell ref="H53:M53"/>
    <mergeCell ref="B54:D54"/>
    <mergeCell ref="H67:M67"/>
    <mergeCell ref="B17:M17"/>
    <mergeCell ref="H61:M61"/>
    <mergeCell ref="K12:M12"/>
    <mergeCell ref="E59:G59"/>
    <mergeCell ref="I35:J35"/>
    <mergeCell ref="P2:R2"/>
    <mergeCell ref="H60:M60"/>
    <mergeCell ref="B57:D57"/>
    <mergeCell ref="B6:M6"/>
    <mergeCell ref="K10:M10"/>
    <mergeCell ref="B2:H2"/>
    <mergeCell ref="B10:D10"/>
    <mergeCell ref="P3:R3"/>
    <mergeCell ref="B5:M5"/>
    <mergeCell ref="B4:M4"/>
    <mergeCell ref="B59:D59"/>
    <mergeCell ref="B46:D46"/>
    <mergeCell ref="I19:J19"/>
    <mergeCell ref="P22:R22"/>
    <mergeCell ref="K35:M35"/>
    <mergeCell ref="I2:J2"/>
    <mergeCell ref="H10:J10"/>
    <mergeCell ref="C38:D38"/>
    <mergeCell ref="K30:M30"/>
    <mergeCell ref="G29:H29"/>
    <mergeCell ref="E55:G55"/>
    <mergeCell ref="I29:J29"/>
    <mergeCell ref="H56:M56"/>
    <mergeCell ref="I36:J36"/>
  </mergeCells>
  <conditionalFormatting sqref="B11:D11">
    <cfRule type="expression" dxfId="65" priority="8">
      <formula>OR($B$11="Non-saline")</formula>
    </cfRule>
    <cfRule type="expression" dxfId="64" priority="6">
      <formula>OR($B$11="Moderately saline",$B$11="Strongly saline",$B$11="Very strongly saline")</formula>
    </cfRule>
    <cfRule type="expression" dxfId="63" priority="7">
      <formula>OR($B$11="Slightly saline")</formula>
    </cfRule>
    <cfRule type="expression" dxfId="62" priority="9">
      <formula>$B$11="NOT MEASURED"</formula>
    </cfRule>
  </conditionalFormatting>
  <conditionalFormatting sqref="B12:D12">
    <cfRule type="expression" dxfId="61" priority="10">
      <formula>ISNUMBER(SEARCH("Fallback",$B$12))</formula>
    </cfRule>
  </conditionalFormatting>
  <conditionalFormatting sqref="B43:D47">
    <cfRule type="expression" dxfId="60" priority="56">
      <formula>OR($E43="CRITICAL",$E43="ALERT")</formula>
    </cfRule>
  </conditionalFormatting>
  <conditionalFormatting sqref="B16:E16">
    <cfRule type="expression" dxfId="59" priority="30">
      <formula>$B$16="BASELINE COMPLETE"</formula>
    </cfRule>
    <cfRule type="expression" dxfId="58" priority="31">
      <formula>$B$16&lt;&gt;"BASELINE COMPLETE"</formula>
    </cfRule>
  </conditionalFormatting>
  <conditionalFormatting sqref="B3:M3">
    <cfRule type="expression" dxfId="57" priority="65">
      <formula>fa_RESET=1</formula>
    </cfRule>
  </conditionalFormatting>
  <conditionalFormatting sqref="B6:M6">
    <cfRule type="expression" dxfId="56" priority="2">
      <formula>ISNUMBER(SEARCH("Sodic",$B$6))</formula>
    </cfRule>
    <cfRule type="expression" dxfId="55" priority="3">
      <formula>LEFT($B$6,11)="Saline Soil"</formula>
    </cfRule>
    <cfRule type="expression" dxfId="54" priority="4">
      <formula>$B$6="Normal Soil"</formula>
    </cfRule>
    <cfRule type="expression" dxfId="53" priority="5">
      <formula>$B$6="Insufficient data"</formula>
    </cfRule>
    <cfRule type="expression" dxfId="52" priority="1" stopIfTrue="1">
      <formula>ISNUMBER(SEARCH("undetermined",$B$6))</formula>
    </cfRule>
  </conditionalFormatting>
  <conditionalFormatting sqref="B41:M41">
    <cfRule type="expression" dxfId="51" priority="61">
      <formula>ISNUMBER(SEARCH("WARNING",$B$41))</formula>
    </cfRule>
    <cfRule type="expression" dxfId="50" priority="60">
      <formula>ISNUMBER(SEARCH("CRITICAL",$B$41))</formula>
    </cfRule>
    <cfRule type="expression" dxfId="49" priority="63">
      <formula>ISNUMBER(SEARCH("CLEAR",$B$41))</formula>
    </cfRule>
    <cfRule type="expression" dxfId="48" priority="62">
      <formula>ISNUMBER(SEARCH("waiting",$B$41))</formula>
    </cfRule>
  </conditionalFormatting>
  <conditionalFormatting sqref="B52:M72">
    <cfRule type="expression" dxfId="47" priority="67">
      <formula>$B52&lt;&gt;""</formula>
    </cfRule>
    <cfRule type="expression" dxfId="46" priority="66">
      <formula>AND($B52&lt;&gt;"",MOD(ROW(),2)=0)</formula>
    </cfRule>
  </conditionalFormatting>
  <conditionalFormatting sqref="E43:E47">
    <cfRule type="expression" dxfId="45" priority="46">
      <formula>OR($E43="CRITICAL",$E43="ALERT")</formula>
    </cfRule>
    <cfRule type="expression" dxfId="44" priority="49">
      <formula>$E43="OPPORTUNITY"</formula>
    </cfRule>
    <cfRule type="expression" dxfId="43" priority="48">
      <formula>OR($E43="DATA NEEDED",$E43="PENDING")</formula>
    </cfRule>
    <cfRule type="expression" dxfId="42" priority="47">
      <formula>$E43="WARNING"</formula>
    </cfRule>
    <cfRule type="expression" dxfId="41" priority="50">
      <formula>$E43="CLEAR"</formula>
    </cfRule>
  </conditionalFormatting>
  <conditionalFormatting sqref="E11:G11">
    <cfRule type="expression" dxfId="40" priority="12">
      <formula>OR($E$11="Moderately Sodic")</formula>
    </cfRule>
    <cfRule type="expression" dxfId="39" priority="13">
      <formula>OR($E$11="Non-Sodic")</formula>
    </cfRule>
    <cfRule type="expression" dxfId="38" priority="14">
      <formula>$E$11="NOT MEASURED"</formula>
    </cfRule>
    <cfRule type="expression" dxfId="37" priority="11">
      <formula>OR($E$11="Sodic (Alkali)",$E$11="Severely Sodic")</formula>
    </cfRule>
  </conditionalFormatting>
  <conditionalFormatting sqref="E12:G12">
    <cfRule type="expression" dxfId="36" priority="15">
      <formula>ISNUMBER(SEARCH("Fallback",$E$12))</formula>
    </cfRule>
  </conditionalFormatting>
  <conditionalFormatting sqref="E13:G13">
    <cfRule type="expression" dxfId="35" priority="29">
      <formula>$E$13="NOT MEASURED"</formula>
    </cfRule>
    <cfRule type="expression" dxfId="34" priority="28">
      <formula>$E$13="Neutral / Optimal"</formula>
    </cfRule>
    <cfRule type="expression" dxfId="33" priority="27">
      <formula>OR($E$13="Acidic",$E$13="Calcareous / Alkaline")</formula>
    </cfRule>
    <cfRule type="expression" dxfId="32" priority="26">
      <formula>$E$13="Strongly Alkaline / Free Na2CO3"</formula>
    </cfRule>
  </conditionalFormatting>
  <conditionalFormatting sqref="G20:H23">
    <cfRule type="expression" dxfId="31" priority="33">
      <formula>$G20="Fallback"</formula>
    </cfRule>
    <cfRule type="expression" dxfId="30" priority="34">
      <formula>$G20="Primary"</formula>
    </cfRule>
    <cfRule type="expression" dxfId="29" priority="32">
      <formula>$G20="Missing"</formula>
    </cfRule>
  </conditionalFormatting>
  <conditionalFormatting sqref="G27:H38">
    <cfRule type="expression" dxfId="28" priority="35">
      <formula>$G27="Missing"</formula>
    </cfRule>
    <cfRule type="expression" dxfId="27" priority="36">
      <formula>$G27="Fallback"</formula>
    </cfRule>
    <cfRule type="expression" dxfId="26" priority="37">
      <formula>$G27="Primary"</formula>
    </cfRule>
  </conditionalFormatting>
  <conditionalFormatting sqref="G43:M47">
    <cfRule type="expression" dxfId="25" priority="57">
      <formula>OR($E43="CRITICAL",$E43="ALERT")</formula>
    </cfRule>
  </conditionalFormatting>
  <conditionalFormatting sqref="H11:J11">
    <cfRule type="expression" dxfId="24" priority="16">
      <formula>OR($H$11="Severe restriction")</formula>
    </cfRule>
    <cfRule type="expression" dxfId="23" priority="17">
      <formula>OR($H$11="Slight to moderate restriction")</formula>
    </cfRule>
    <cfRule type="expression" dxfId="22" priority="18">
      <formula>OR($H$11="No restriction")</formula>
    </cfRule>
    <cfRule type="expression" dxfId="21" priority="19">
      <formula>$H$11="NOT MEASURED"</formula>
    </cfRule>
  </conditionalFormatting>
  <conditionalFormatting sqref="H12:J12">
    <cfRule type="expression" dxfId="20" priority="20">
      <formula>ISNUMBER(SEARCH("Fallback",$H$12))</formula>
    </cfRule>
  </conditionalFormatting>
  <conditionalFormatting sqref="I20:J23">
    <cfRule type="expression" dxfId="19" priority="40">
      <formula>$I20="OK"</formula>
    </cfRule>
    <cfRule type="expression" dxfId="18" priority="39">
      <formula>LEFT($I20,12)="OK (fallback"</formula>
    </cfRule>
    <cfRule type="expression" dxfId="17" priority="38">
      <formula>LEFT($I20,7)="MISSING"</formula>
    </cfRule>
    <cfRule type="expression" dxfId="16" priority="41">
      <formula>$I20="Not measured"</formula>
    </cfRule>
  </conditionalFormatting>
  <conditionalFormatting sqref="I27:J38">
    <cfRule type="expression" dxfId="15" priority="42">
      <formula>LEFT($I27,7)="MISSING"</formula>
    </cfRule>
    <cfRule type="expression" dxfId="14" priority="43">
      <formula>LEFT($I27,12)="OK (fallback"</formula>
    </cfRule>
    <cfRule type="expression" dxfId="13" priority="44">
      <formula>$I27="OK"</formula>
    </cfRule>
    <cfRule type="expression" dxfId="12" priority="45">
      <formula>$I27="Not measured"</formula>
    </cfRule>
  </conditionalFormatting>
  <conditionalFormatting sqref="K2:M2">
    <cfRule type="expression" dxfId="11" priority="64">
      <formula>$K$2="RESET (blank all results)"</formula>
    </cfRule>
  </conditionalFormatting>
  <conditionalFormatting sqref="K11:M11">
    <cfRule type="expression" dxfId="10" priority="21">
      <formula>OR($K$11="Critical (waterlogged)")</formula>
    </cfRule>
    <cfRule type="expression" dxfId="9" priority="22">
      <formula>OR($K$11="Moderate risk")</formula>
    </cfRule>
    <cfRule type="expression" dxfId="8" priority="24">
      <formula>$K$11="NOT MEASURED"</formula>
    </cfRule>
    <cfRule type="expression" dxfId="7" priority="23">
      <formula>OR($K$11="Safe depth")</formula>
    </cfRule>
  </conditionalFormatting>
  <conditionalFormatting sqref="K12:M12">
    <cfRule type="expression" dxfId="6" priority="25">
      <formula>ISNUMBER(SEARCH("Fallback",$K$12))</formula>
    </cfRule>
  </conditionalFormatting>
  <dataValidations count="1">
    <dataValidation type="list" sqref="K2" xr:uid="{00000000-0002-0000-0100-000000000000}">
      <formula1>"LIVE (normal use),RESET (blank all results)"</formula1>
      <formula2>0</formula2>
    </dataValidation>
  </dataValidation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7"/>
  <sheetViews>
    <sheetView topLeftCell="A26" zoomScale="85" zoomScaleNormal="85" workbookViewId="0">
      <selection activeCell="E36" sqref="E35:F36"/>
    </sheetView>
  </sheetViews>
  <sheetFormatPr defaultColWidth="8.6640625" defaultRowHeight="14.4" x14ac:dyDescent="0.3"/>
  <cols>
    <col min="1" max="1" width="3.6640625" style="8" customWidth="1"/>
    <col min="2" max="2" width="4.21875" style="8" customWidth="1"/>
    <col min="3" max="3" width="20.33203125" customWidth="1"/>
    <col min="4" max="4" width="19.5546875" customWidth="1"/>
    <col min="5" max="5" width="20.21875" customWidth="1"/>
    <col min="6" max="6" width="8.33203125" customWidth="1"/>
    <col min="7" max="7" width="32" customWidth="1"/>
    <col min="8" max="8" width="13.77734375" customWidth="1"/>
    <col min="9" max="9" width="14.21875" customWidth="1"/>
    <col min="10" max="11" width="45" customWidth="1"/>
    <col min="12" max="12" width="35" customWidth="1"/>
    <col min="13" max="13" width="8.88671875" style="8" customWidth="1"/>
    <col min="20" max="20" width="13.44140625" customWidth="1"/>
  </cols>
  <sheetData>
    <row r="1" spans="3:12" ht="34.5" customHeight="1" x14ac:dyDescent="0.3">
      <c r="C1" s="183" t="s">
        <v>198</v>
      </c>
      <c r="D1" s="137"/>
      <c r="E1" s="137"/>
      <c r="F1" s="137"/>
      <c r="G1" s="137"/>
      <c r="H1" s="137"/>
      <c r="I1" s="137"/>
      <c r="J1" s="137"/>
      <c r="K1" s="137"/>
      <c r="L1" s="137"/>
    </row>
    <row r="2" spans="3:12" s="8" customFormat="1" ht="15" customHeight="1" thickBot="1" x14ac:dyDescent="0.35"/>
    <row r="3" spans="3:12" ht="42" customHeight="1" thickBot="1" x14ac:dyDescent="0.35">
      <c r="C3" s="9" t="s">
        <v>199</v>
      </c>
      <c r="D3" s="10" t="s">
        <v>200</v>
      </c>
      <c r="E3" s="10" t="s">
        <v>201</v>
      </c>
      <c r="F3" s="10" t="s">
        <v>202</v>
      </c>
      <c r="G3" s="10" t="s">
        <v>203</v>
      </c>
      <c r="H3" s="10" t="s">
        <v>204</v>
      </c>
      <c r="I3" s="10" t="s">
        <v>205</v>
      </c>
      <c r="J3" s="10" t="s">
        <v>206</v>
      </c>
      <c r="K3" s="10" t="s">
        <v>207</v>
      </c>
      <c r="L3" s="11" t="s">
        <v>208</v>
      </c>
    </row>
    <row r="4" spans="3:12" ht="21.75" customHeight="1" thickBot="1" x14ac:dyDescent="0.35">
      <c r="C4" s="167" t="s">
        <v>209</v>
      </c>
      <c r="D4" s="168"/>
      <c r="E4" s="168"/>
      <c r="F4" s="168"/>
      <c r="G4" s="168"/>
      <c r="H4" s="168"/>
      <c r="I4" s="168"/>
      <c r="J4" s="168"/>
      <c r="K4" s="168"/>
      <c r="L4" s="169"/>
    </row>
    <row r="5" spans="3:12" ht="40.5" customHeight="1" thickBot="1" x14ac:dyDescent="0.35">
      <c r="C5" s="195" t="s">
        <v>210</v>
      </c>
      <c r="D5" s="188" t="s">
        <v>211</v>
      </c>
      <c r="E5" s="12"/>
      <c r="F5" s="12"/>
      <c r="G5" s="13" t="s">
        <v>212</v>
      </c>
      <c r="H5" s="14" t="str">
        <f>IF(fa_RESET=1,"",IF(E5="0.0 – 2.0 dS/m",1,IF(E5="2.0 – 4.0 dS/m",3,IF(E5="4.0 – 8.0 dS/m",6,IF(E5="8.0 – 16.0 dS/m",12,IF(E5="&gt; 16.0 dS/m",18,IF(E5="Manual",IF(F5="","",F5),IF(F5="","",F5))))))))</f>
        <v/>
      </c>
      <c r="I5" s="15" t="s">
        <v>213</v>
      </c>
      <c r="J5" s="15" t="s">
        <v>214</v>
      </c>
      <c r="K5" s="15" t="s">
        <v>215</v>
      </c>
      <c r="L5" s="16" t="s">
        <v>216</v>
      </c>
    </row>
    <row r="6" spans="3:12" ht="40.5" customHeight="1" thickBot="1" x14ac:dyDescent="0.35">
      <c r="C6" s="196"/>
      <c r="D6" s="189"/>
      <c r="E6" s="17"/>
      <c r="F6" s="17"/>
      <c r="G6" s="18" t="s">
        <v>217</v>
      </c>
      <c r="H6" s="19" t="str">
        <f>IF(fa_RESET=1,"",IF(E6="&lt; 0.4 dS/m",0.2,IF(E6="0.4 – 0.8 dS/m",0.6,IF(E6="0.8 – 1.6 dS/m",1.2,IF(E6="&gt; 1.6 dS/m",2,IF(E6="Manual",IF(F6="","",F6),IF(F6="","",F6)))))))</f>
        <v/>
      </c>
      <c r="I6" s="20" t="s">
        <v>213</v>
      </c>
      <c r="J6" s="20" t="s">
        <v>218</v>
      </c>
      <c r="K6" s="20" t="s">
        <v>219</v>
      </c>
      <c r="L6" s="21" t="s">
        <v>220</v>
      </c>
    </row>
    <row r="7" spans="3:12" ht="40.5" customHeight="1" thickBot="1" x14ac:dyDescent="0.35">
      <c r="C7" s="177" t="s">
        <v>210</v>
      </c>
      <c r="D7" s="192" t="s">
        <v>221</v>
      </c>
      <c r="E7" s="12"/>
      <c r="F7" s="12"/>
      <c r="G7" s="13" t="s">
        <v>222</v>
      </c>
      <c r="H7" s="14" t="str">
        <f>IF(fa_RESET=1,"",IF(E7="&lt; 13.0 (mmol/L)^0.5",10,IF(E7="13.0 – 20.0 (mmol/L)^0.5",16.5,IF(E7="&gt; 20.0 (mmol/L)^0.5",25,IF(E7="Manual",IF(F7="","",F7),IF(F7="","",F7))))))</f>
        <v/>
      </c>
      <c r="I7" s="15" t="s">
        <v>223</v>
      </c>
      <c r="J7" s="15" t="s">
        <v>224</v>
      </c>
      <c r="K7" s="15" t="s">
        <v>225</v>
      </c>
      <c r="L7" s="16" t="s">
        <v>226</v>
      </c>
    </row>
    <row r="8" spans="3:12" ht="40.5" customHeight="1" thickBot="1" x14ac:dyDescent="0.35">
      <c r="C8" s="181"/>
      <c r="D8" s="137"/>
      <c r="E8" s="24"/>
      <c r="F8" s="24"/>
      <c r="G8" s="25" t="s">
        <v>227</v>
      </c>
      <c r="H8" s="26" t="str">
        <f>IF(fa_RESET=1,"",IF(E8="&lt; 13.0 (mmol/L)^0.5",10,IF(E8="≥ 13.0 (mmol/L)^0.5",15,IF(E8="Manual",IF(F8="","",F8),IF(F8="","",F8)))))</f>
        <v/>
      </c>
      <c r="I8" s="27" t="s">
        <v>223</v>
      </c>
      <c r="J8" s="27" t="s">
        <v>228</v>
      </c>
      <c r="K8" s="27" t="s">
        <v>229</v>
      </c>
      <c r="L8" s="28" t="s">
        <v>216</v>
      </c>
    </row>
    <row r="9" spans="3:12" ht="40.5" customHeight="1" thickBot="1" x14ac:dyDescent="0.35">
      <c r="C9" s="171"/>
      <c r="D9" s="176"/>
      <c r="E9" s="24"/>
      <c r="F9" s="24"/>
      <c r="G9" s="18" t="s">
        <v>230</v>
      </c>
      <c r="H9" s="19" t="str">
        <f>IF(fa_RESET=1,"",IF(E9="&lt; 15%",10,IF(E9="15% – 30%",22.5,IF(E9="&gt; 30%",35,IF(E9="Manual",IF(F9="","",F9),IF(F9="","",F9))))))</f>
        <v/>
      </c>
      <c r="I9" s="20" t="s">
        <v>231</v>
      </c>
      <c r="J9" s="20" t="s">
        <v>232</v>
      </c>
      <c r="K9" s="20" t="s">
        <v>233</v>
      </c>
      <c r="L9" s="21" t="s">
        <v>216</v>
      </c>
    </row>
    <row r="10" spans="3:12" ht="40.5" customHeight="1" thickBot="1" x14ac:dyDescent="0.35">
      <c r="C10" s="177" t="s">
        <v>210</v>
      </c>
      <c r="D10" s="192" t="s">
        <v>234</v>
      </c>
      <c r="E10" s="12"/>
      <c r="F10" s="12"/>
      <c r="G10" s="13" t="s">
        <v>235</v>
      </c>
      <c r="H10" s="14" t="str">
        <f>IF(fa_RESET=1,"",IF(E10="&lt; 0.7 dS/m",0.5,IF(E10="0.7 – 3.0 dS/m",1.85,IF(E10="&gt; 3.0 dS/m",4,IF(E10="Manual",IF(F10="","",F10),IF(F10="","",F10))))))</f>
        <v/>
      </c>
      <c r="I10" s="15" t="s">
        <v>213</v>
      </c>
      <c r="J10" s="15" t="s">
        <v>236</v>
      </c>
      <c r="K10" s="15" t="s">
        <v>237</v>
      </c>
      <c r="L10" s="16" t="s">
        <v>238</v>
      </c>
    </row>
    <row r="11" spans="3:12" ht="40.5" customHeight="1" thickBot="1" x14ac:dyDescent="0.35">
      <c r="C11" s="171"/>
      <c r="D11" s="176"/>
      <c r="E11" s="24"/>
      <c r="F11" s="24"/>
      <c r="G11" s="18" t="s">
        <v>239</v>
      </c>
      <c r="H11" s="19" t="str">
        <f>IF(fa_RESET=1,"",IF(E11="&lt; 450 mg/L (ppm)",250,IF(E11="450 – 2000 mg/L",1225,IF(E11="&gt; 2000 mg/L",2500,IF(E11="Manual",IF(F11="","",F11),IF(F11="","",F11))))))</f>
        <v/>
      </c>
      <c r="I11" s="20" t="s">
        <v>240</v>
      </c>
      <c r="J11" s="20" t="s">
        <v>241</v>
      </c>
      <c r="K11" s="20" t="s">
        <v>242</v>
      </c>
      <c r="L11" s="21" t="s">
        <v>243</v>
      </c>
    </row>
    <row r="12" spans="3:12" ht="40.5" customHeight="1" thickBot="1" x14ac:dyDescent="0.35">
      <c r="C12" s="22" t="s">
        <v>210</v>
      </c>
      <c r="D12" s="23" t="s">
        <v>69</v>
      </c>
      <c r="E12" s="12"/>
      <c r="F12" s="12"/>
      <c r="G12" s="23" t="s">
        <v>245</v>
      </c>
      <c r="H12" s="29" t="str">
        <f>IF(fa_RESET=1,"",IF(E12="&gt; 2.0 m",2.5,IF(E12="1.5 – 2.0 m",1.75,IF(E12="&lt; 1.5 m",1,IF(E12="Manual",IF(F12="","",F12),IF(F12="","",F12))))))</f>
        <v/>
      </c>
      <c r="I12" s="30" t="s">
        <v>246</v>
      </c>
      <c r="J12" s="30" t="s">
        <v>247</v>
      </c>
      <c r="K12" s="30" t="s">
        <v>248</v>
      </c>
      <c r="L12" s="31" t="s">
        <v>249</v>
      </c>
    </row>
    <row r="13" spans="3:12" s="8" customFormat="1" ht="18" customHeight="1" thickBot="1" x14ac:dyDescent="0.35">
      <c r="C13" s="32"/>
      <c r="D13" s="32"/>
      <c r="E13" s="32"/>
      <c r="F13" s="33"/>
      <c r="G13" s="34"/>
      <c r="H13" s="35"/>
      <c r="I13" s="35"/>
      <c r="J13" s="34"/>
      <c r="K13" s="34"/>
      <c r="L13" s="34"/>
    </row>
    <row r="14" spans="3:12" ht="21.75" customHeight="1" x14ac:dyDescent="0.3">
      <c r="C14" s="167" t="s">
        <v>250</v>
      </c>
      <c r="D14" s="168"/>
      <c r="E14" s="168"/>
      <c r="F14" s="168"/>
      <c r="G14" s="168"/>
      <c r="H14" s="168"/>
      <c r="I14" s="168"/>
      <c r="J14" s="168"/>
      <c r="K14" s="168"/>
      <c r="L14" s="169"/>
    </row>
    <row r="15" spans="3:12" ht="39" customHeight="1" thickBot="1" x14ac:dyDescent="0.35">
      <c r="C15" s="170" t="s">
        <v>251</v>
      </c>
      <c r="D15" s="178" t="s">
        <v>252</v>
      </c>
      <c r="E15" s="36"/>
      <c r="F15" s="36"/>
      <c r="G15" s="37" t="s">
        <v>253</v>
      </c>
      <c r="H15" s="38" t="str">
        <f>IF(fa_RESET=1,"",IF(E15="&gt; 2.0 m/day",2.5,IF(E15="0.5 – 2.0 m/day",1.25,IF(E15="0.1 – 0.5 m/day",0.3,IF(E15="&lt; 0.1 m/day",0.05,IF(E15="Manual",IF(F15="","",F15),IF(F15="","",F15)))))))</f>
        <v/>
      </c>
      <c r="I15" s="39" t="s">
        <v>254</v>
      </c>
      <c r="J15" s="39" t="s">
        <v>255</v>
      </c>
      <c r="K15" s="39" t="s">
        <v>256</v>
      </c>
      <c r="L15" s="40" t="s">
        <v>257</v>
      </c>
    </row>
    <row r="16" spans="3:12" ht="39" customHeight="1" thickBot="1" x14ac:dyDescent="0.35">
      <c r="C16" s="171"/>
      <c r="D16" s="176"/>
      <c r="E16" s="41"/>
      <c r="F16" s="41"/>
      <c r="G16" s="18" t="s">
        <v>258</v>
      </c>
      <c r="H16" s="19" t="str">
        <f>IF(fa_RESET=1,"",IF(E16="&gt; 2.0 m/day",2.5,IF(E16="0.5 – 2.0 m/day",1.25,IF(E16="0.1 – 0.5 m/day",0.3,IF(E16="&lt; 0.1 m/day",0.05,IF(E16="Manual",IF(F16="","",F16),IF(F16="","",F16)))))))</f>
        <v/>
      </c>
      <c r="I16" s="20" t="s">
        <v>259</v>
      </c>
      <c r="J16" s="20" t="s">
        <v>260</v>
      </c>
      <c r="K16" s="20" t="s">
        <v>261</v>
      </c>
      <c r="L16" s="21" t="s">
        <v>262</v>
      </c>
    </row>
    <row r="17" spans="3:14" ht="39" customHeight="1" thickBot="1" x14ac:dyDescent="0.35">
      <c r="C17" s="170" t="s">
        <v>251</v>
      </c>
      <c r="D17" s="175" t="s">
        <v>263</v>
      </c>
      <c r="E17" s="12"/>
      <c r="F17" s="12"/>
      <c r="G17" s="37" t="s">
        <v>264</v>
      </c>
      <c r="H17" s="38" t="str">
        <f>IF(fa_RESET=1,"",IF(E17="Coarse (Sand / Loamy Sand)","Sand",IF(E17="Medium (Loam / Silt Loam / Sandy Loam)","Loam",IF(E17="Fine (Clay / Silty Clay / Clay Loam)","Clay",IF(E17="Stratified (Clay pans / Plow pans)","Stratified",IF(E17="Manual",IF(F17="","",F17),IF(F17="","",F17)))))))</f>
        <v/>
      </c>
      <c r="I17" s="39" t="s">
        <v>265</v>
      </c>
      <c r="J17" s="39" t="s">
        <v>266</v>
      </c>
      <c r="K17" s="39" t="s">
        <v>267</v>
      </c>
      <c r="L17" s="40" t="s">
        <v>268</v>
      </c>
    </row>
    <row r="18" spans="3:14" ht="39" customHeight="1" x14ac:dyDescent="0.3">
      <c r="C18" s="171"/>
      <c r="D18" s="176"/>
      <c r="E18" s="42"/>
      <c r="F18" s="42"/>
      <c r="G18" s="18" t="s">
        <v>269</v>
      </c>
      <c r="H18" s="19" t="str">
        <f>IF(fa_RESET=1,"",IF(E18="Coarse (Sand / Loamy Sand)","Sand",IF(E18="Medium (Loam / Silt Loam / Sandy Loam)","Loam",IF(E18="Fine (Clay / Silty Clay / Clay Loam)","Clay",IF(E18="Stratified (Clay pans / Plow pans)","Stratified",IF(E18="Manual",IF(F18="","",F18),IF(F18="","",F18)))))))</f>
        <v/>
      </c>
      <c r="I18" s="20" t="s">
        <v>270</v>
      </c>
      <c r="J18" s="20" t="s">
        <v>271</v>
      </c>
      <c r="K18" s="20" t="s">
        <v>272</v>
      </c>
      <c r="L18" s="21" t="s">
        <v>273</v>
      </c>
    </row>
    <row r="19" spans="3:14" ht="39" customHeight="1" thickBot="1" x14ac:dyDescent="0.35">
      <c r="C19" s="186" t="s">
        <v>251</v>
      </c>
      <c r="D19" s="190" t="s">
        <v>274</v>
      </c>
      <c r="E19" s="36"/>
      <c r="F19" s="36"/>
      <c r="G19" s="37" t="s">
        <v>275</v>
      </c>
      <c r="H19" s="38" t="str">
        <f>IF(fa_RESET=1,"",IF(E19="Flat (&lt; 0.1% slope) with depressions",0.05,IF(E19="Gentle Slope (0.1% – 1.0%)",0.5,IF(E19="Moderate to Steep (&gt; 1.0%)",2,IF(E19="Manual",IF(F19="","",F19),IF(F19="","",F19))))))</f>
        <v/>
      </c>
      <c r="I19" s="39" t="s">
        <v>276</v>
      </c>
      <c r="J19" s="39" t="s">
        <v>277</v>
      </c>
      <c r="K19" s="39" t="s">
        <v>278</v>
      </c>
      <c r="L19" s="40" t="s">
        <v>279</v>
      </c>
    </row>
    <row r="20" spans="3:14" ht="39" customHeight="1" thickBot="1" x14ac:dyDescent="0.35">
      <c r="C20" s="187"/>
      <c r="D20" s="191"/>
      <c r="E20" s="24"/>
      <c r="F20" s="24"/>
      <c r="G20" s="43" t="s">
        <v>280</v>
      </c>
      <c r="H20" s="44" t="str">
        <f>IF(fa_RESET=1,"",IF(F20="","",F20))</f>
        <v/>
      </c>
      <c r="I20" s="45" t="s">
        <v>281</v>
      </c>
      <c r="J20" s="45" t="s">
        <v>282</v>
      </c>
      <c r="K20" s="45" t="s">
        <v>283</v>
      </c>
      <c r="L20" s="46" t="s">
        <v>284</v>
      </c>
      <c r="N20" s="47"/>
    </row>
    <row r="21" spans="3:14" s="8" customFormat="1" ht="19.5" customHeight="1" thickBot="1" x14ac:dyDescent="0.35">
      <c r="C21" s="35"/>
      <c r="D21" s="48"/>
      <c r="E21" s="48"/>
      <c r="F21" s="49"/>
      <c r="G21" s="50"/>
      <c r="H21" s="51"/>
      <c r="I21" s="51"/>
      <c r="J21" s="50"/>
      <c r="K21" s="50"/>
      <c r="L21" s="50"/>
    </row>
    <row r="22" spans="3:14" ht="21.75" customHeight="1" thickBot="1" x14ac:dyDescent="0.35">
      <c r="C22" s="167" t="s">
        <v>285</v>
      </c>
      <c r="D22" s="168"/>
      <c r="E22" s="168"/>
      <c r="F22" s="168"/>
      <c r="G22" s="168"/>
      <c r="H22" s="168"/>
      <c r="I22" s="168"/>
      <c r="J22" s="168"/>
      <c r="K22" s="168"/>
      <c r="L22" s="169"/>
    </row>
    <row r="23" spans="3:14" ht="36" customHeight="1" thickBot="1" x14ac:dyDescent="0.35">
      <c r="C23" s="179" t="s">
        <v>286</v>
      </c>
      <c r="D23" s="193" t="s">
        <v>287</v>
      </c>
      <c r="E23" s="12"/>
      <c r="F23" s="52"/>
      <c r="G23" s="53" t="s">
        <v>288</v>
      </c>
      <c r="H23" s="54" t="str">
        <f>IF(fa_RESET=1,"",IF(E23="&lt; 10 meq/100g (cmol/kg)",5,IF(E23="10 – 20 meq/100g (cmol/kg)",15,IF(E23="&gt; 20 meq/100g (cmol/kg)",25,IF(E23="Manual",IF(F23="","",F23),IF(F23="","",F23))))))</f>
        <v/>
      </c>
      <c r="I23" s="55" t="s">
        <v>289</v>
      </c>
      <c r="J23" s="55" t="s">
        <v>290</v>
      </c>
      <c r="K23" s="55" t="s">
        <v>291</v>
      </c>
      <c r="L23" s="56" t="s">
        <v>216</v>
      </c>
    </row>
    <row r="24" spans="3:14" ht="36" customHeight="1" thickBot="1" x14ac:dyDescent="0.35">
      <c r="C24" s="171"/>
      <c r="D24" s="174"/>
      <c r="E24" s="24"/>
      <c r="F24" s="57"/>
      <c r="G24" s="18" t="s">
        <v>292</v>
      </c>
      <c r="H24" s="19" t="str">
        <f>IF(fa_RESET=1,"",IF(E24="&lt; 10 meq/100g (cmol/kg)",5,IF(E24="10 – 20 meq/100g (cmol/kg)",15,IF(E24="&gt; 20 meq/100g (cmol/kg)",25,IF(E24="Manual",IF(F24="","",F24),IF(F24="","",F24))))))</f>
        <v/>
      </c>
      <c r="I24" s="20" t="s">
        <v>293</v>
      </c>
      <c r="J24" s="20" t="s">
        <v>294</v>
      </c>
      <c r="K24" s="20" t="s">
        <v>295</v>
      </c>
      <c r="L24" s="21" t="s">
        <v>273</v>
      </c>
    </row>
    <row r="25" spans="3:14" ht="36" customHeight="1" thickBot="1" x14ac:dyDescent="0.35">
      <c r="C25" s="172" t="s">
        <v>286</v>
      </c>
      <c r="D25" s="173" t="s">
        <v>296</v>
      </c>
      <c r="E25" s="12"/>
      <c r="F25" s="52"/>
      <c r="G25" s="53" t="s">
        <v>297</v>
      </c>
      <c r="H25" s="54" t="str">
        <f>IF(fa_RESET=1,"",IF(E25="&lt; 1.4 g/cm³",1.2,IF(E25="1.4 – 1.6 g/cm³",1.5,IF(E25="&gt; 1.6 g/cm³",1.7,IF(E25="Manual",IF(F25="","",F25),IF(F25="","",F25))))))</f>
        <v/>
      </c>
      <c r="I25" s="55" t="s">
        <v>298</v>
      </c>
      <c r="J25" s="55" t="s">
        <v>299</v>
      </c>
      <c r="K25" s="55" t="s">
        <v>300</v>
      </c>
      <c r="L25" s="56" t="s">
        <v>301</v>
      </c>
    </row>
    <row r="26" spans="3:14" ht="36" customHeight="1" thickBot="1" x14ac:dyDescent="0.35">
      <c r="C26" s="171"/>
      <c r="D26" s="174"/>
      <c r="E26" s="24"/>
      <c r="F26" s="57"/>
      <c r="G26" s="18" t="s">
        <v>302</v>
      </c>
      <c r="H26" s="19" t="str">
        <f>IF(fa_RESET=1,"",IF(E26="&lt; 1.4 g/cm³",1.2,IF(E26="1.4 – 1.6 g/cm³",1.5,IF(E26="&gt; 1.6 g/cm³",1.7,IF(E26="Manual",IF(F26="","",F26),IF(F26="","",F26))))))</f>
        <v/>
      </c>
      <c r="I26" s="20" t="s">
        <v>303</v>
      </c>
      <c r="J26" s="20" t="s">
        <v>304</v>
      </c>
      <c r="K26" s="20" t="s">
        <v>305</v>
      </c>
      <c r="L26" s="21" t="s">
        <v>262</v>
      </c>
    </row>
    <row r="27" spans="3:14" ht="36" customHeight="1" thickBot="1" x14ac:dyDescent="0.35">
      <c r="C27" s="172" t="s">
        <v>286</v>
      </c>
      <c r="D27" s="173" t="s">
        <v>306</v>
      </c>
      <c r="E27" s="12"/>
      <c r="F27" s="52"/>
      <c r="G27" s="53" t="s">
        <v>307</v>
      </c>
      <c r="H27" s="54" t="str">
        <f>IF(fa_RESET=1,"",IF(E27="&lt; 1.0%",0.5,IF(E27="1.0% – 5.0%",3,IF(E27="&gt; 5.0%",6,IF(E27="Manual",IF(F27="","",F27),IF(F27="","",F27))))))</f>
        <v/>
      </c>
      <c r="I27" s="55" t="s">
        <v>308</v>
      </c>
      <c r="J27" s="55" t="s">
        <v>309</v>
      </c>
      <c r="K27" s="55" t="s">
        <v>310</v>
      </c>
      <c r="L27" s="56" t="s">
        <v>311</v>
      </c>
    </row>
    <row r="28" spans="3:14" ht="36" customHeight="1" thickBot="1" x14ac:dyDescent="0.35">
      <c r="C28" s="171"/>
      <c r="D28" s="174"/>
      <c r="E28" s="24"/>
      <c r="F28" s="57"/>
      <c r="G28" s="25" t="s">
        <v>312</v>
      </c>
      <c r="H28" s="26" t="str">
        <f>IF(fa_RESET=1,"",IF(F28="","",F28))</f>
        <v/>
      </c>
      <c r="I28" s="27" t="s">
        <v>313</v>
      </c>
      <c r="J28" s="27" t="s">
        <v>314</v>
      </c>
      <c r="K28" s="27" t="s">
        <v>315</v>
      </c>
      <c r="L28" s="28" t="s">
        <v>273</v>
      </c>
    </row>
    <row r="29" spans="3:14" ht="36" customHeight="1" thickBot="1" x14ac:dyDescent="0.35">
      <c r="C29" s="180" t="s">
        <v>286</v>
      </c>
      <c r="D29" s="184" t="s">
        <v>316</v>
      </c>
      <c r="E29" s="12"/>
      <c r="F29" s="59"/>
      <c r="G29" s="60" t="s">
        <v>317</v>
      </c>
      <c r="H29" s="61" t="str">
        <f>IF(fa_RESET=1,"",IF(E29="&lt; 1.25 meq/L",1,IF(E29="1.25 – 2.50 meq/L",1.8,IF(E29="&gt; 2.50 meq/L",3,IF(E29="Manual",IF(F29="","",F29),IF(F29="","",F29))))))</f>
        <v/>
      </c>
      <c r="I29" s="62" t="s">
        <v>318</v>
      </c>
      <c r="J29" s="62" t="s">
        <v>319</v>
      </c>
      <c r="K29" s="62" t="s">
        <v>320</v>
      </c>
      <c r="L29" s="63" t="s">
        <v>321</v>
      </c>
    </row>
    <row r="30" spans="3:14" ht="36" customHeight="1" thickBot="1" x14ac:dyDescent="0.35">
      <c r="C30" s="181"/>
      <c r="D30" s="185"/>
      <c r="E30" s="24"/>
      <c r="F30" s="64"/>
      <c r="G30" s="65" t="s">
        <v>322</v>
      </c>
      <c r="H30" s="44" t="str">
        <f>IF(fa_RESET=1,"",IF(F30="","",F30))</f>
        <v/>
      </c>
      <c r="I30" s="45" t="s">
        <v>223</v>
      </c>
      <c r="J30" s="45" t="s">
        <v>323</v>
      </c>
      <c r="K30" s="45" t="s">
        <v>324</v>
      </c>
      <c r="L30" s="46" t="s">
        <v>325</v>
      </c>
    </row>
    <row r="31" spans="3:14" ht="44.4" customHeight="1" thickBot="1" x14ac:dyDescent="0.35">
      <c r="C31" s="66" t="s">
        <v>210</v>
      </c>
      <c r="D31" s="58" t="s">
        <v>102</v>
      </c>
      <c r="E31" s="12"/>
      <c r="F31" s="52"/>
      <c r="G31" s="67" t="s">
        <v>326</v>
      </c>
      <c r="H31" s="68" t="str">
        <f>IF(fa_RESET=1,"",IF(E31="&lt; 7.5",7,IF(E31="7.5 – 8.5",8,IF(E31="&gt; 8.5",9,IF(E31="Manual",IF(F31="","",F31),IF(F31="","",F31))))))</f>
        <v/>
      </c>
      <c r="I31" s="69" t="s">
        <v>327</v>
      </c>
      <c r="J31" s="69" t="s">
        <v>328</v>
      </c>
      <c r="K31" s="69" t="s">
        <v>329</v>
      </c>
      <c r="L31" s="70" t="s">
        <v>330</v>
      </c>
    </row>
    <row r="32" spans="3:14" ht="45" customHeight="1" thickBot="1" x14ac:dyDescent="0.35">
      <c r="C32" s="71" t="s">
        <v>210</v>
      </c>
      <c r="D32" s="72" t="s">
        <v>331</v>
      </c>
      <c r="E32" s="12"/>
      <c r="F32" s="52"/>
      <c r="G32" s="73" t="s">
        <v>332</v>
      </c>
      <c r="H32" s="74" t="str">
        <f>IF(fa_RESET=1,"",IF(E32="&lt; 1.5 dS/m",1,IF(E32="1.5 – 5.0 dS/m",3,IF(E32="&gt; 5.0 dS/m",6,IF(E32="Manual",IF(F32="","",F32),IF(F32="","",F32))))))</f>
        <v/>
      </c>
      <c r="I32" s="75" t="s">
        <v>213</v>
      </c>
      <c r="J32" s="75" t="s">
        <v>333</v>
      </c>
      <c r="K32" s="75" t="s">
        <v>334</v>
      </c>
      <c r="L32" s="76" t="s">
        <v>335</v>
      </c>
    </row>
    <row r="33" spans="3:12" s="8" customFormat="1" ht="18" customHeight="1" thickBot="1" x14ac:dyDescent="0.35">
      <c r="C33" s="35"/>
      <c r="D33" s="48"/>
      <c r="E33" s="48"/>
      <c r="F33" s="49"/>
      <c r="G33" s="50"/>
      <c r="H33" s="51"/>
      <c r="I33" s="51"/>
      <c r="J33" s="50"/>
      <c r="K33" s="50"/>
      <c r="L33" s="50"/>
    </row>
    <row r="34" spans="3:12" ht="21.75" customHeight="1" thickBot="1" x14ac:dyDescent="0.35">
      <c r="C34" s="167" t="s">
        <v>336</v>
      </c>
      <c r="D34" s="168"/>
      <c r="E34" s="168"/>
      <c r="F34" s="168"/>
      <c r="G34" s="168"/>
      <c r="H34" s="168"/>
      <c r="I34" s="168"/>
      <c r="J34" s="168"/>
      <c r="K34" s="168"/>
      <c r="L34" s="169"/>
    </row>
    <row r="35" spans="3:12" ht="40.5" customHeight="1" thickBot="1" x14ac:dyDescent="0.35">
      <c r="C35" s="194" t="s">
        <v>337</v>
      </c>
      <c r="D35" s="182" t="s">
        <v>338</v>
      </c>
      <c r="E35" s="12"/>
      <c r="F35" s="12"/>
      <c r="G35" s="77" t="s">
        <v>339</v>
      </c>
      <c r="H35" s="78" t="str">
        <f>IF(fa_RESET=1,"",IF(E35="&lt; 1.0%",0.5,IF(E35="1.0% – 2.0%",1.5,IF(E35="&gt; 2.0%",2.5,IF(E35="Manual",IF(F35="","",F35),IF(F35="","",F35))))))</f>
        <v/>
      </c>
      <c r="I35" s="79" t="s">
        <v>340</v>
      </c>
      <c r="J35" s="79" t="s">
        <v>341</v>
      </c>
      <c r="K35" s="79" t="s">
        <v>342</v>
      </c>
      <c r="L35" s="80" t="s">
        <v>343</v>
      </c>
    </row>
    <row r="36" spans="3:12" ht="40.5" customHeight="1" thickBot="1" x14ac:dyDescent="0.35">
      <c r="C36" s="171"/>
      <c r="D36" s="176"/>
      <c r="E36" s="24"/>
      <c r="F36" s="24"/>
      <c r="G36" s="18" t="s">
        <v>344</v>
      </c>
      <c r="H36" s="19" t="str">
        <f>IF(fa_RESET=1,"",IF(F36="","",F36))</f>
        <v/>
      </c>
      <c r="I36" s="20" t="s">
        <v>345</v>
      </c>
      <c r="J36" s="20" t="s">
        <v>346</v>
      </c>
      <c r="K36" s="20" t="s">
        <v>347</v>
      </c>
      <c r="L36" s="21" t="s">
        <v>348</v>
      </c>
    </row>
    <row r="37" spans="3:12" ht="40.5" customHeight="1" thickBot="1" x14ac:dyDescent="0.35">
      <c r="C37" s="194" t="s">
        <v>337</v>
      </c>
      <c r="D37" s="182" t="s">
        <v>349</v>
      </c>
      <c r="E37" s="12"/>
      <c r="F37" s="12"/>
      <c r="G37" s="77" t="s">
        <v>350</v>
      </c>
      <c r="H37" s="78" t="str">
        <f>IF(fa_RESET=1,"",IF(E37="&lt; 1.5 dS/m",1,IF(E37="1.5 – 3.0 dS/m",2.25,IF(E37="3.0 – 6.0 dS/m",4.5,IF(E37="6.0 – 10.0 dS/m",8,IF(E37="&gt; 10.0 dS/m",12,IF(E37="Manual",IF(F37="","",F37),IF(F37="","",F37))))))))</f>
        <v/>
      </c>
      <c r="I37" s="79" t="s">
        <v>213</v>
      </c>
      <c r="J37" s="79" t="s">
        <v>351</v>
      </c>
      <c r="K37" s="79" t="s">
        <v>352</v>
      </c>
      <c r="L37" s="80" t="s">
        <v>353</v>
      </c>
    </row>
    <row r="38" spans="3:12" ht="40.5" customHeight="1" thickBot="1" x14ac:dyDescent="0.35">
      <c r="C38" s="171"/>
      <c r="D38" s="176"/>
      <c r="E38" s="24"/>
      <c r="F38" s="24"/>
      <c r="G38" s="18" t="s">
        <v>354</v>
      </c>
      <c r="H38" s="19" t="str">
        <f>IF(fa_RESET=1,"",IF(F38="","",F38))</f>
        <v/>
      </c>
      <c r="I38" s="20" t="s">
        <v>355</v>
      </c>
      <c r="J38" s="20" t="s">
        <v>356</v>
      </c>
      <c r="K38" s="20" t="s">
        <v>357</v>
      </c>
      <c r="L38" s="21" t="s">
        <v>358</v>
      </c>
    </row>
    <row r="39" spans="3:12" ht="43.5" customHeight="1" thickBot="1" x14ac:dyDescent="0.35">
      <c r="C39" s="81" t="s">
        <v>337</v>
      </c>
      <c r="D39" s="82" t="s">
        <v>114</v>
      </c>
      <c r="E39" s="12"/>
      <c r="F39" s="12"/>
      <c r="G39" s="82" t="s">
        <v>359</v>
      </c>
      <c r="H39" s="83" t="str">
        <f>IF(fa_RESET=1,"",IF(F39="","",F39))</f>
        <v/>
      </c>
      <c r="I39" s="84" t="s">
        <v>360</v>
      </c>
      <c r="J39" s="84" t="s">
        <v>361</v>
      </c>
      <c r="K39" s="84" t="s">
        <v>362</v>
      </c>
      <c r="L39" s="85" t="s">
        <v>363</v>
      </c>
    </row>
    <row r="40" spans="3:12" s="8" customFormat="1" x14ac:dyDescent="0.3"/>
    <row r="41" spans="3:12" s="8" customFormat="1" x14ac:dyDescent="0.3"/>
    <row r="42" spans="3:12" ht="21" customHeight="1" x14ac:dyDescent="0.3"/>
    <row r="43" spans="3:12" ht="21" customHeight="1" x14ac:dyDescent="0.3"/>
    <row r="44" spans="3:12" ht="21" customHeight="1" x14ac:dyDescent="0.3"/>
    <row r="45" spans="3:12" ht="21" customHeight="1" x14ac:dyDescent="0.3"/>
    <row r="46" spans="3:12" ht="21" customHeight="1" x14ac:dyDescent="0.3"/>
    <row r="47" spans="3:12" ht="21" customHeight="1" x14ac:dyDescent="0.3"/>
  </sheetData>
  <mergeCells count="29">
    <mergeCell ref="D37:D38"/>
    <mergeCell ref="C1:L1"/>
    <mergeCell ref="D29:D30"/>
    <mergeCell ref="C19:C20"/>
    <mergeCell ref="D5:D6"/>
    <mergeCell ref="D19:D20"/>
    <mergeCell ref="D10:D11"/>
    <mergeCell ref="C22:L22"/>
    <mergeCell ref="D23:D24"/>
    <mergeCell ref="D7:D9"/>
    <mergeCell ref="C15:C16"/>
    <mergeCell ref="C37:C38"/>
    <mergeCell ref="D35:D36"/>
    <mergeCell ref="C5:C6"/>
    <mergeCell ref="C35:C36"/>
    <mergeCell ref="C7:C9"/>
    <mergeCell ref="C34:L34"/>
    <mergeCell ref="C14:L14"/>
    <mergeCell ref="D15:D16"/>
    <mergeCell ref="C23:C24"/>
    <mergeCell ref="C29:C30"/>
    <mergeCell ref="C4:L4"/>
    <mergeCell ref="C17:C18"/>
    <mergeCell ref="C27:C28"/>
    <mergeCell ref="D25:D26"/>
    <mergeCell ref="D27:D28"/>
    <mergeCell ref="D17:D18"/>
    <mergeCell ref="C10:C11"/>
    <mergeCell ref="C25:C26"/>
  </mergeCells>
  <dataValidations count="20">
    <dataValidation type="list" sqref="E5" xr:uid="{00000000-0002-0000-0200-000000000000}">
      <formula1>"0.0 – 2.0 dS/m,2.0 – 4.0 dS/m,4.0 – 8.0 dS/m,8.0 – 16.0 dS/m,&gt; 16.0 dS/m,Manual"</formula1>
      <formula2>0</formula2>
    </dataValidation>
    <dataValidation type="list" sqref="E6" xr:uid="{00000000-0002-0000-0200-000001000000}">
      <formula1>"&lt; 0.4 dS/m,0.4 – 0.8 dS/m,0.8 – 1.6 dS/m,&gt; 1.6 dS/m,Manual"</formula1>
      <formula2>0</formula2>
    </dataValidation>
    <dataValidation type="list" sqref="E7" xr:uid="{00000000-0002-0000-0200-000002000000}">
      <formula1>"&lt; 13.0 (mmol/L)^0.5,13.0 – 20.0 (mmol/L)^0.5,&gt; 20.0 (mmol/L)^0.5,Manual"</formula1>
      <formula2>0</formula2>
    </dataValidation>
    <dataValidation type="list" sqref="E8" xr:uid="{00000000-0002-0000-0200-000003000000}">
      <formula1>"&lt; 13.0 (mmol/L)^0.5,≥ 13.0 (mmol/L)^0.5,Manual"</formula1>
      <formula2>0</formula2>
    </dataValidation>
    <dataValidation type="list" sqref="E9" xr:uid="{00000000-0002-0000-0200-000004000000}">
      <formula1>"&lt; 15%,15% – 30%,&gt; 30%,Manual"</formula1>
      <formula2>0</formula2>
    </dataValidation>
    <dataValidation type="list" sqref="E10" xr:uid="{00000000-0002-0000-0200-000005000000}">
      <formula1>"&lt; 0.7 dS/m,0.7 – 3.0 dS/m,&gt; 3.0 dS/m,Manual"</formula1>
      <formula2>0</formula2>
    </dataValidation>
    <dataValidation type="list" sqref="E11" xr:uid="{00000000-0002-0000-0200-000006000000}">
      <formula1>"&lt; 450 mg/L (ppm),450 – 2000 mg/L,&gt; 2000 mg/L,Manual"</formula1>
      <formula2>0</formula2>
    </dataValidation>
    <dataValidation type="list" sqref="E12" xr:uid="{00000000-0002-0000-0200-000007000000}">
      <formula1>"&gt; 2.0 m,1.5 – 2.0 m,&lt; 1.5 m,Manual"</formula1>
      <formula2>0</formula2>
    </dataValidation>
    <dataValidation type="list" sqref="E15:E16" xr:uid="{00000000-0002-0000-0200-000008000000}">
      <formula1>"&gt; 2.0 m/day,0.5 – 2.0 m/day,0.1 – 0.5 m/day,&lt; 0.1 m/day,Manual"</formula1>
      <formula2>0</formula2>
    </dataValidation>
    <dataValidation type="list" sqref="E17:E18" xr:uid="{00000000-0002-0000-0200-000009000000}">
      <formula1>"Coarse (Sand / Loamy Sand),Medium (Loam / Silt Loam / Sandy Loam),Fine (Clay / Silty Clay / Clay Loam),Stratified (Clay pans / Plow pans),Manual"</formula1>
      <formula2>0</formula2>
    </dataValidation>
    <dataValidation type="list" sqref="E19" xr:uid="{00000000-0002-0000-0200-00000A000000}">
      <formula1>"Flat (&lt; 0.1% slope) with depressions,Gentle Slope (0.1% – 1.0%),Moderate to Steep (&gt; 1.0%),Manual"</formula1>
      <formula2>0</formula2>
    </dataValidation>
    <dataValidation type="list" sqref="E20 E28 E30 E36 E38:E39" xr:uid="{00000000-0002-0000-0200-00000B000000}">
      <formula1>"Manual"</formula1>
      <formula2>0</formula2>
    </dataValidation>
    <dataValidation type="list" sqref="E23:E24" xr:uid="{00000000-0002-0000-0200-00000C000000}">
      <formula1>"&lt; 10 meq/100g (cmol/kg),10 – 20 meq/100g (cmol/kg),&gt; 20 meq/100g (cmol/kg),Manual"</formula1>
      <formula2>0</formula2>
    </dataValidation>
    <dataValidation type="list" sqref="E25:E26" xr:uid="{00000000-0002-0000-0200-00000D000000}">
      <formula1>"&lt; 1.4 g/cm³,1.4 – 1.6 g/cm³,&gt; 1.6 g/cm³,Manual"</formula1>
      <formula2>0</formula2>
    </dataValidation>
    <dataValidation type="list" sqref="E27" xr:uid="{00000000-0002-0000-0200-00000E000000}">
      <formula1>"&lt; 1.0%,1.0% – 5.0%,&gt; 5.0%,Manual"</formula1>
      <formula2>0</formula2>
    </dataValidation>
    <dataValidation type="list" sqref="E29" xr:uid="{00000000-0002-0000-0200-00000F000000}">
      <formula1>"&lt; 1.25 meq/L,1.25 – 2.50 meq/L,&gt; 2.50 meq/L,Manual"</formula1>
      <formula2>0</formula2>
    </dataValidation>
    <dataValidation type="list" sqref="E31" xr:uid="{00000000-0002-0000-0200-000010000000}">
      <formula1>"&lt; 7.5,7.5 – 8.5,&gt; 8.5,Manual"</formula1>
      <formula2>0</formula2>
    </dataValidation>
    <dataValidation type="list" sqref="E32" xr:uid="{00000000-0002-0000-0200-000011000000}">
      <formula1>"&lt; 1.5 dS/m,1.5 – 5.0 dS/m,&gt; 5.0 dS/m,Manual"</formula1>
      <formula2>0</formula2>
    </dataValidation>
    <dataValidation type="list" sqref="E35" xr:uid="{00000000-0002-0000-0200-000012000000}">
      <formula1>"&lt; 1.0%,1.0% – 2.0%,&gt; 2.0%,Manual"</formula1>
      <formula2>0</formula2>
    </dataValidation>
    <dataValidation type="list" sqref="E37" xr:uid="{00000000-0002-0000-0200-000013000000}">
      <formula1>"&lt; 1.5 dS/m,1.5 – 3.0 dS/m,3.0 – 6.0 dS/m,6.0 – 10.0 dS/m,&gt; 10.0 dS/m,Manual"</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2"/>
  <sheetViews>
    <sheetView tabSelected="1" topLeftCell="A28" zoomScale="85" zoomScaleNormal="85" workbookViewId="0">
      <selection activeCell="G37" sqref="G37:G39"/>
    </sheetView>
  </sheetViews>
  <sheetFormatPr defaultColWidth="8.6640625" defaultRowHeight="14.4" x14ac:dyDescent="0.3"/>
  <cols>
    <col min="1" max="1" width="22" customWidth="1"/>
    <col min="2" max="2" width="20" customWidth="1"/>
    <col min="3" max="3" width="25" customWidth="1"/>
    <col min="4" max="4" width="40" customWidth="1"/>
    <col min="5" max="6" width="45" customWidth="1"/>
    <col min="7" max="7" width="35" customWidth="1"/>
  </cols>
  <sheetData>
    <row r="1" spans="1:7" ht="34.5" customHeight="1" x14ac:dyDescent="0.3">
      <c r="A1" s="183" t="s">
        <v>364</v>
      </c>
      <c r="B1" s="137"/>
      <c r="C1" s="137"/>
      <c r="D1" s="137"/>
      <c r="E1" s="137"/>
      <c r="F1" s="137"/>
      <c r="G1" s="137"/>
    </row>
    <row r="2" spans="1:7" ht="19.5" customHeight="1" x14ac:dyDescent="0.3">
      <c r="A2" s="200" t="s">
        <v>365</v>
      </c>
      <c r="B2" s="137"/>
      <c r="C2" s="137"/>
      <c r="D2" s="137"/>
      <c r="E2" s="137"/>
      <c r="F2" s="137"/>
      <c r="G2" s="137"/>
    </row>
    <row r="4" spans="1:7" ht="24" customHeight="1" x14ac:dyDescent="0.3">
      <c r="A4" s="199" t="s">
        <v>366</v>
      </c>
      <c r="B4" s="137"/>
      <c r="C4" s="137"/>
      <c r="D4" s="137"/>
      <c r="E4" s="137"/>
      <c r="F4" s="137"/>
      <c r="G4" s="137"/>
    </row>
    <row r="5" spans="1:7" ht="27.75" customHeight="1" x14ac:dyDescent="0.3">
      <c r="A5" s="86" t="s">
        <v>367</v>
      </c>
      <c r="B5" s="86" t="s">
        <v>368</v>
      </c>
      <c r="C5" s="86" t="s">
        <v>369</v>
      </c>
      <c r="D5" s="86" t="s">
        <v>370</v>
      </c>
      <c r="E5" s="86" t="s">
        <v>371</v>
      </c>
      <c r="F5" s="86" t="s">
        <v>372</v>
      </c>
      <c r="G5" s="86" t="s">
        <v>373</v>
      </c>
    </row>
    <row r="6" spans="1:7" ht="68.25" customHeight="1" x14ac:dyDescent="0.3">
      <c r="A6" s="87" t="s">
        <v>374</v>
      </c>
      <c r="B6" s="87" t="s">
        <v>375</v>
      </c>
      <c r="C6" s="87" t="s">
        <v>376</v>
      </c>
      <c r="D6" s="87" t="s">
        <v>377</v>
      </c>
      <c r="E6" s="88" t="s">
        <v>378</v>
      </c>
      <c r="F6" s="88" t="s">
        <v>379</v>
      </c>
      <c r="G6" s="88" t="s">
        <v>380</v>
      </c>
    </row>
    <row r="7" spans="1:7" ht="68.25" customHeight="1" x14ac:dyDescent="0.3">
      <c r="A7" s="87" t="s">
        <v>381</v>
      </c>
      <c r="B7" s="87" t="s">
        <v>382</v>
      </c>
      <c r="C7" s="87" t="s">
        <v>376</v>
      </c>
      <c r="D7" s="87" t="s">
        <v>383</v>
      </c>
      <c r="E7" s="88" t="s">
        <v>384</v>
      </c>
      <c r="F7" s="88" t="s">
        <v>385</v>
      </c>
      <c r="G7" s="88" t="s">
        <v>386</v>
      </c>
    </row>
    <row r="8" spans="1:7" ht="68.25" customHeight="1" x14ac:dyDescent="0.3">
      <c r="A8" s="87" t="s">
        <v>387</v>
      </c>
      <c r="B8" s="87" t="s">
        <v>375</v>
      </c>
      <c r="C8" s="87" t="s">
        <v>388</v>
      </c>
      <c r="D8" s="87" t="s">
        <v>389</v>
      </c>
      <c r="E8" s="88" t="s">
        <v>390</v>
      </c>
      <c r="F8" s="88" t="s">
        <v>391</v>
      </c>
      <c r="G8" s="88" t="s">
        <v>392</v>
      </c>
    </row>
    <row r="9" spans="1:7" ht="68.25" customHeight="1" x14ac:dyDescent="0.3">
      <c r="A9" s="87" t="s">
        <v>393</v>
      </c>
      <c r="B9" s="87" t="s">
        <v>382</v>
      </c>
      <c r="C9" s="87" t="s">
        <v>388</v>
      </c>
      <c r="D9" s="87" t="s">
        <v>394</v>
      </c>
      <c r="E9" s="88" t="s">
        <v>395</v>
      </c>
      <c r="F9" s="88" t="s">
        <v>396</v>
      </c>
      <c r="G9" s="88" t="s">
        <v>397</v>
      </c>
    </row>
    <row r="11" spans="1:7" ht="21.75" customHeight="1" x14ac:dyDescent="0.3">
      <c r="A11" s="197" t="s">
        <v>398</v>
      </c>
      <c r="B11" s="137"/>
      <c r="C11" s="137"/>
      <c r="D11" s="137"/>
      <c r="E11" s="137"/>
      <c r="F11" s="137"/>
      <c r="G11" s="137"/>
    </row>
    <row r="12" spans="1:7" ht="24" customHeight="1" x14ac:dyDescent="0.3">
      <c r="A12" s="86" t="s">
        <v>399</v>
      </c>
      <c r="B12" s="86" t="s">
        <v>400</v>
      </c>
      <c r="C12" s="86" t="s">
        <v>401</v>
      </c>
      <c r="D12" s="86" t="s">
        <v>206</v>
      </c>
      <c r="E12" s="86" t="s">
        <v>402</v>
      </c>
      <c r="F12" s="86" t="s">
        <v>403</v>
      </c>
      <c r="G12" s="86" t="s">
        <v>208</v>
      </c>
    </row>
    <row r="13" spans="1:7" ht="55.5" customHeight="1" x14ac:dyDescent="0.3">
      <c r="A13" s="87" t="s">
        <v>102</v>
      </c>
      <c r="B13" s="87" t="s">
        <v>404</v>
      </c>
      <c r="C13" s="87" t="s">
        <v>405</v>
      </c>
      <c r="D13" s="88" t="s">
        <v>406</v>
      </c>
      <c r="E13" s="88" t="s">
        <v>407</v>
      </c>
      <c r="F13" s="88" t="s">
        <v>408</v>
      </c>
      <c r="G13" s="88" t="s">
        <v>409</v>
      </c>
    </row>
    <row r="14" spans="1:7" ht="55.5" customHeight="1" x14ac:dyDescent="0.3">
      <c r="A14" s="87" t="s">
        <v>102</v>
      </c>
      <c r="B14" s="87" t="s">
        <v>410</v>
      </c>
      <c r="C14" s="87" t="s">
        <v>411</v>
      </c>
      <c r="D14" s="88" t="s">
        <v>412</v>
      </c>
      <c r="E14" s="88" t="s">
        <v>413</v>
      </c>
      <c r="F14" s="88" t="s">
        <v>414</v>
      </c>
      <c r="G14" s="88" t="s">
        <v>415</v>
      </c>
    </row>
    <row r="15" spans="1:7" ht="55.5" customHeight="1" x14ac:dyDescent="0.3">
      <c r="A15" s="87" t="s">
        <v>102</v>
      </c>
      <c r="B15" s="87" t="s">
        <v>416</v>
      </c>
      <c r="C15" s="87" t="s">
        <v>417</v>
      </c>
      <c r="D15" s="88" t="s">
        <v>418</v>
      </c>
      <c r="E15" s="88" t="s">
        <v>419</v>
      </c>
      <c r="F15" s="88" t="s">
        <v>420</v>
      </c>
      <c r="G15" s="88" t="s">
        <v>421</v>
      </c>
    </row>
    <row r="16" spans="1:7" ht="55.5" customHeight="1" x14ac:dyDescent="0.3">
      <c r="A16" s="198" t="s">
        <v>422</v>
      </c>
      <c r="B16" s="132"/>
      <c r="C16" s="132"/>
      <c r="D16" s="132"/>
      <c r="E16" s="132"/>
      <c r="F16" s="132"/>
      <c r="G16" s="133"/>
    </row>
    <row r="18" spans="1:7" ht="21.75" customHeight="1" x14ac:dyDescent="0.3">
      <c r="A18" s="197" t="s">
        <v>423</v>
      </c>
      <c r="B18" s="137"/>
      <c r="C18" s="137"/>
      <c r="D18" s="137"/>
      <c r="E18" s="137"/>
      <c r="F18" s="137"/>
      <c r="G18" s="137"/>
    </row>
    <row r="19" spans="1:7" ht="24" customHeight="1" x14ac:dyDescent="0.3">
      <c r="A19" s="86" t="s">
        <v>399</v>
      </c>
      <c r="B19" s="86" t="s">
        <v>400</v>
      </c>
      <c r="C19" s="86" t="s">
        <v>401</v>
      </c>
      <c r="D19" s="86" t="s">
        <v>206</v>
      </c>
      <c r="E19" s="86" t="s">
        <v>402</v>
      </c>
      <c r="F19" s="86" t="s">
        <v>403</v>
      </c>
      <c r="G19" s="86" t="s">
        <v>208</v>
      </c>
    </row>
    <row r="20" spans="1:7" ht="43.5" customHeight="1" x14ac:dyDescent="0.3">
      <c r="A20" s="87" t="s">
        <v>424</v>
      </c>
      <c r="B20" s="87" t="s">
        <v>425</v>
      </c>
      <c r="C20" s="87" t="s">
        <v>426</v>
      </c>
      <c r="D20" s="88" t="s">
        <v>427</v>
      </c>
      <c r="E20" s="88" t="s">
        <v>428</v>
      </c>
      <c r="F20" s="88" t="s">
        <v>429</v>
      </c>
      <c r="G20" s="88" t="s">
        <v>330</v>
      </c>
    </row>
    <row r="21" spans="1:7" ht="43.5" customHeight="1" x14ac:dyDescent="0.3">
      <c r="A21" s="87" t="s">
        <v>424</v>
      </c>
      <c r="B21" s="87" t="s">
        <v>430</v>
      </c>
      <c r="C21" s="87" t="s">
        <v>431</v>
      </c>
      <c r="D21" s="88" t="s">
        <v>427</v>
      </c>
      <c r="E21" s="88" t="s">
        <v>432</v>
      </c>
      <c r="F21" s="88" t="s">
        <v>433</v>
      </c>
      <c r="G21" s="88" t="s">
        <v>216</v>
      </c>
    </row>
    <row r="22" spans="1:7" ht="43.5" customHeight="1" x14ac:dyDescent="0.3">
      <c r="A22" s="87" t="s">
        <v>424</v>
      </c>
      <c r="B22" s="87" t="s">
        <v>434</v>
      </c>
      <c r="C22" s="87" t="s">
        <v>435</v>
      </c>
      <c r="D22" s="88" t="s">
        <v>427</v>
      </c>
      <c r="E22" s="88" t="s">
        <v>436</v>
      </c>
      <c r="F22" s="88" t="s">
        <v>437</v>
      </c>
      <c r="G22" s="88" t="s">
        <v>216</v>
      </c>
    </row>
    <row r="23" spans="1:7" ht="43.5" customHeight="1" x14ac:dyDescent="0.3">
      <c r="A23" s="87" t="s">
        <v>424</v>
      </c>
      <c r="B23" s="87" t="s">
        <v>438</v>
      </c>
      <c r="C23" s="87" t="s">
        <v>439</v>
      </c>
      <c r="D23" s="88" t="s">
        <v>427</v>
      </c>
      <c r="E23" s="88" t="s">
        <v>440</v>
      </c>
      <c r="F23" s="88" t="s">
        <v>441</v>
      </c>
      <c r="G23" s="88" t="s">
        <v>442</v>
      </c>
    </row>
    <row r="24" spans="1:7" ht="43.5" customHeight="1" x14ac:dyDescent="0.3">
      <c r="A24" s="87" t="s">
        <v>424</v>
      </c>
      <c r="B24" s="87" t="s">
        <v>443</v>
      </c>
      <c r="C24" s="87" t="s">
        <v>444</v>
      </c>
      <c r="D24" s="88" t="s">
        <v>427</v>
      </c>
      <c r="E24" s="88" t="s">
        <v>445</v>
      </c>
      <c r="F24" s="88" t="s">
        <v>446</v>
      </c>
      <c r="G24" s="88" t="s">
        <v>447</v>
      </c>
    </row>
    <row r="25" spans="1:7" ht="55.5" customHeight="1" x14ac:dyDescent="0.3">
      <c r="A25" s="198" t="s">
        <v>448</v>
      </c>
      <c r="B25" s="132"/>
      <c r="C25" s="132"/>
      <c r="D25" s="132"/>
      <c r="E25" s="132"/>
      <c r="F25" s="132"/>
      <c r="G25" s="133"/>
    </row>
    <row r="26" spans="1:7" x14ac:dyDescent="0.3">
      <c r="A26" s="89" t="s">
        <v>449</v>
      </c>
    </row>
    <row r="27" spans="1:7" ht="21.75" customHeight="1" x14ac:dyDescent="0.3">
      <c r="A27" s="197" t="s">
        <v>450</v>
      </c>
      <c r="B27" s="137"/>
      <c r="C27" s="137"/>
      <c r="D27" s="137"/>
      <c r="E27" s="137"/>
      <c r="F27" s="137"/>
      <c r="G27" s="137"/>
    </row>
    <row r="28" spans="1:7" ht="24" customHeight="1" x14ac:dyDescent="0.3">
      <c r="A28" s="86" t="s">
        <v>399</v>
      </c>
      <c r="B28" s="86" t="s">
        <v>400</v>
      </c>
      <c r="C28" s="86" t="s">
        <v>401</v>
      </c>
      <c r="D28" s="86" t="s">
        <v>206</v>
      </c>
      <c r="E28" s="86" t="s">
        <v>402</v>
      </c>
      <c r="F28" s="86" t="s">
        <v>403</v>
      </c>
      <c r="G28" s="86" t="s">
        <v>208</v>
      </c>
    </row>
    <row r="29" spans="1:7" ht="35.25" customHeight="1" x14ac:dyDescent="0.3">
      <c r="A29" s="87" t="s">
        <v>451</v>
      </c>
      <c r="B29" s="87" t="s">
        <v>452</v>
      </c>
      <c r="C29" s="87" t="s">
        <v>453</v>
      </c>
      <c r="D29" s="88" t="s">
        <v>454</v>
      </c>
      <c r="E29" s="88" t="s">
        <v>455</v>
      </c>
      <c r="F29" s="88" t="s">
        <v>456</v>
      </c>
      <c r="G29" s="88" t="s">
        <v>457</v>
      </c>
    </row>
    <row r="30" spans="1:7" ht="35.25" customHeight="1" x14ac:dyDescent="0.3">
      <c r="A30" s="87" t="s">
        <v>451</v>
      </c>
      <c r="B30" s="87" t="s">
        <v>458</v>
      </c>
      <c r="C30" s="87" t="s">
        <v>459</v>
      </c>
      <c r="D30" s="88" t="s">
        <v>454</v>
      </c>
      <c r="E30" s="88" t="s">
        <v>460</v>
      </c>
      <c r="F30" s="88" t="s">
        <v>461</v>
      </c>
      <c r="G30" s="88" t="s">
        <v>220</v>
      </c>
    </row>
    <row r="31" spans="1:7" ht="102" customHeight="1" x14ac:dyDescent="0.3">
      <c r="A31" s="87" t="s">
        <v>451</v>
      </c>
      <c r="B31" s="87" t="s">
        <v>462</v>
      </c>
      <c r="C31" s="87" t="s">
        <v>463</v>
      </c>
      <c r="D31" s="88" t="s">
        <v>454</v>
      </c>
      <c r="E31" s="88" t="s">
        <v>464</v>
      </c>
      <c r="F31" s="88" t="s">
        <v>465</v>
      </c>
      <c r="G31" s="88" t="s">
        <v>220</v>
      </c>
    </row>
    <row r="32" spans="1:7" ht="35.25" customHeight="1" x14ac:dyDescent="0.3">
      <c r="A32" s="87" t="s">
        <v>451</v>
      </c>
      <c r="B32" s="87" t="s">
        <v>466</v>
      </c>
      <c r="C32" s="87" t="s">
        <v>467</v>
      </c>
      <c r="D32" s="88" t="s">
        <v>454</v>
      </c>
      <c r="E32" s="88" t="s">
        <v>468</v>
      </c>
      <c r="F32" s="88" t="s">
        <v>469</v>
      </c>
      <c r="G32" s="88" t="s">
        <v>470</v>
      </c>
    </row>
    <row r="33" spans="1:7" ht="48.75" customHeight="1" x14ac:dyDescent="0.3">
      <c r="A33" s="198" t="s">
        <v>471</v>
      </c>
      <c r="B33" s="132"/>
      <c r="C33" s="132"/>
      <c r="D33" s="132"/>
      <c r="E33" s="132"/>
      <c r="F33" s="132"/>
      <c r="G33" s="133"/>
    </row>
    <row r="35" spans="1:7" ht="21.75" customHeight="1" x14ac:dyDescent="0.3">
      <c r="A35" s="197" t="s">
        <v>472</v>
      </c>
      <c r="B35" s="137"/>
      <c r="C35" s="137"/>
      <c r="D35" s="137"/>
      <c r="E35" s="137"/>
      <c r="F35" s="137"/>
      <c r="G35" s="137"/>
    </row>
    <row r="36" spans="1:7" ht="24" customHeight="1" x14ac:dyDescent="0.3">
      <c r="A36" s="86" t="s">
        <v>399</v>
      </c>
      <c r="B36" s="86" t="s">
        <v>400</v>
      </c>
      <c r="C36" s="86" t="s">
        <v>401</v>
      </c>
      <c r="D36" s="86" t="s">
        <v>206</v>
      </c>
      <c r="E36" s="86" t="s">
        <v>402</v>
      </c>
      <c r="F36" s="86" t="s">
        <v>403</v>
      </c>
      <c r="G36" s="86" t="s">
        <v>208</v>
      </c>
    </row>
    <row r="37" spans="1:7" ht="45" customHeight="1" x14ac:dyDescent="0.3">
      <c r="A37" s="87" t="s">
        <v>473</v>
      </c>
      <c r="B37" s="87" t="s">
        <v>474</v>
      </c>
      <c r="C37" s="87" t="s">
        <v>475</v>
      </c>
      <c r="D37" s="88" t="s">
        <v>224</v>
      </c>
      <c r="E37" s="88" t="s">
        <v>476</v>
      </c>
      <c r="F37" s="88" t="s">
        <v>477</v>
      </c>
      <c r="G37" s="88" t="s">
        <v>1167</v>
      </c>
    </row>
    <row r="38" spans="1:7" ht="45" customHeight="1" x14ac:dyDescent="0.3">
      <c r="A38" s="87" t="s">
        <v>473</v>
      </c>
      <c r="B38" s="87" t="s">
        <v>478</v>
      </c>
      <c r="C38" s="87" t="s">
        <v>479</v>
      </c>
      <c r="D38" s="88" t="s">
        <v>224</v>
      </c>
      <c r="E38" s="88" t="s">
        <v>480</v>
      </c>
      <c r="F38" s="88" t="s">
        <v>481</v>
      </c>
      <c r="G38" s="88" t="s">
        <v>1167</v>
      </c>
    </row>
    <row r="39" spans="1:7" ht="45" customHeight="1" x14ac:dyDescent="0.3">
      <c r="A39" s="87" t="s">
        <v>473</v>
      </c>
      <c r="B39" s="87" t="s">
        <v>482</v>
      </c>
      <c r="C39" s="87" t="s">
        <v>483</v>
      </c>
      <c r="D39" s="88" t="s">
        <v>224</v>
      </c>
      <c r="E39" s="88" t="s">
        <v>484</v>
      </c>
      <c r="F39" s="88" t="s">
        <v>485</v>
      </c>
      <c r="G39" s="88" t="s">
        <v>1167</v>
      </c>
    </row>
    <row r="40" spans="1:7" ht="45" customHeight="1" x14ac:dyDescent="0.3">
      <c r="A40" s="198" t="s">
        <v>486</v>
      </c>
      <c r="B40" s="132"/>
      <c r="C40" s="132"/>
      <c r="D40" s="132"/>
      <c r="E40" s="132"/>
      <c r="F40" s="132"/>
      <c r="G40" s="133"/>
    </row>
    <row r="42" spans="1:7" ht="21.75" customHeight="1" x14ac:dyDescent="0.3">
      <c r="A42" s="197" t="s">
        <v>487</v>
      </c>
      <c r="B42" s="137"/>
      <c r="C42" s="137"/>
      <c r="D42" s="137"/>
      <c r="E42" s="137"/>
      <c r="F42" s="137"/>
      <c r="G42" s="137"/>
    </row>
    <row r="43" spans="1:7" ht="24" customHeight="1" x14ac:dyDescent="0.3">
      <c r="A43" s="86" t="s">
        <v>399</v>
      </c>
      <c r="B43" s="86" t="s">
        <v>400</v>
      </c>
      <c r="C43" s="86" t="s">
        <v>401</v>
      </c>
      <c r="D43" s="86" t="s">
        <v>206</v>
      </c>
      <c r="E43" s="86" t="s">
        <v>402</v>
      </c>
      <c r="F43" s="86" t="s">
        <v>403</v>
      </c>
      <c r="G43" s="86" t="s">
        <v>208</v>
      </c>
    </row>
    <row r="44" spans="1:7" ht="47.25" customHeight="1" x14ac:dyDescent="0.3">
      <c r="A44" s="87" t="s">
        <v>488</v>
      </c>
      <c r="B44" s="87" t="s">
        <v>474</v>
      </c>
      <c r="C44" s="87" t="s">
        <v>475</v>
      </c>
      <c r="D44" s="88" t="s">
        <v>489</v>
      </c>
      <c r="E44" s="88" t="s">
        <v>490</v>
      </c>
      <c r="F44" s="88" t="s">
        <v>491</v>
      </c>
      <c r="G44" s="88" t="s">
        <v>216</v>
      </c>
    </row>
    <row r="45" spans="1:7" ht="47.25" customHeight="1" x14ac:dyDescent="0.3">
      <c r="A45" s="87" t="s">
        <v>488</v>
      </c>
      <c r="B45" s="87" t="s">
        <v>492</v>
      </c>
      <c r="C45" s="87" t="s">
        <v>493</v>
      </c>
      <c r="D45" s="88" t="s">
        <v>489</v>
      </c>
      <c r="E45" s="88" t="s">
        <v>494</v>
      </c>
      <c r="F45" s="88" t="s">
        <v>495</v>
      </c>
      <c r="G45" s="88" t="s">
        <v>421</v>
      </c>
    </row>
    <row r="46" spans="1:7" ht="47.25" customHeight="1" x14ac:dyDescent="0.3">
      <c r="A46" s="198" t="s">
        <v>496</v>
      </c>
      <c r="B46" s="132"/>
      <c r="C46" s="132"/>
      <c r="D46" s="132"/>
      <c r="E46" s="132"/>
      <c r="F46" s="132"/>
      <c r="G46" s="133"/>
    </row>
    <row r="48" spans="1:7" ht="21.75" customHeight="1" x14ac:dyDescent="0.3">
      <c r="A48" s="197" t="s">
        <v>497</v>
      </c>
      <c r="B48" s="137"/>
      <c r="C48" s="137"/>
      <c r="D48" s="137"/>
      <c r="E48" s="137"/>
      <c r="F48" s="137"/>
      <c r="G48" s="137"/>
    </row>
    <row r="49" spans="1:7" ht="24" customHeight="1" x14ac:dyDescent="0.3">
      <c r="A49" s="86" t="s">
        <v>399</v>
      </c>
      <c r="B49" s="86" t="s">
        <v>400</v>
      </c>
      <c r="C49" s="86" t="s">
        <v>401</v>
      </c>
      <c r="D49" s="86" t="s">
        <v>206</v>
      </c>
      <c r="E49" s="86" t="s">
        <v>402</v>
      </c>
      <c r="F49" s="86" t="s">
        <v>403</v>
      </c>
      <c r="G49" s="86" t="s">
        <v>208</v>
      </c>
    </row>
    <row r="50" spans="1:7" ht="52.5" customHeight="1" x14ac:dyDescent="0.3">
      <c r="A50" s="87" t="s">
        <v>498</v>
      </c>
      <c r="B50" s="87" t="s">
        <v>499</v>
      </c>
      <c r="C50" s="87" t="s">
        <v>475</v>
      </c>
      <c r="D50" s="88" t="s">
        <v>500</v>
      </c>
      <c r="E50" s="88" t="s">
        <v>501</v>
      </c>
      <c r="F50" s="88" t="s">
        <v>502</v>
      </c>
      <c r="G50" s="88" t="s">
        <v>330</v>
      </c>
    </row>
    <row r="51" spans="1:7" ht="52.5" customHeight="1" x14ac:dyDescent="0.3">
      <c r="A51" s="87" t="s">
        <v>498</v>
      </c>
      <c r="B51" s="87" t="s">
        <v>503</v>
      </c>
      <c r="C51" s="87" t="s">
        <v>479</v>
      </c>
      <c r="D51" s="88" t="s">
        <v>500</v>
      </c>
      <c r="E51" s="88" t="s">
        <v>504</v>
      </c>
      <c r="F51" s="88" t="s">
        <v>505</v>
      </c>
      <c r="G51" s="88" t="s">
        <v>216</v>
      </c>
    </row>
    <row r="52" spans="1:7" ht="52.5" customHeight="1" x14ac:dyDescent="0.3">
      <c r="A52" s="87" t="s">
        <v>498</v>
      </c>
      <c r="B52" s="87" t="s">
        <v>506</v>
      </c>
      <c r="C52" s="87" t="s">
        <v>483</v>
      </c>
      <c r="D52" s="88" t="s">
        <v>500</v>
      </c>
      <c r="E52" s="88" t="s">
        <v>507</v>
      </c>
      <c r="F52" s="88" t="s">
        <v>508</v>
      </c>
      <c r="G52" s="88" t="s">
        <v>421</v>
      </c>
    </row>
    <row r="53" spans="1:7" ht="52.5" customHeight="1" x14ac:dyDescent="0.3">
      <c r="A53" s="198" t="s">
        <v>509</v>
      </c>
      <c r="B53" s="132"/>
      <c r="C53" s="132"/>
      <c r="D53" s="132"/>
      <c r="E53" s="132"/>
      <c r="F53" s="132"/>
      <c r="G53" s="133"/>
    </row>
    <row r="55" spans="1:7" ht="21.75" customHeight="1" x14ac:dyDescent="0.3">
      <c r="A55" s="197" t="s">
        <v>510</v>
      </c>
      <c r="B55" s="137"/>
      <c r="C55" s="137"/>
      <c r="D55" s="137"/>
      <c r="E55" s="137"/>
      <c r="F55" s="137"/>
      <c r="G55" s="137"/>
    </row>
    <row r="56" spans="1:7" ht="24" customHeight="1" x14ac:dyDescent="0.3">
      <c r="A56" s="86" t="s">
        <v>399</v>
      </c>
      <c r="B56" s="86" t="s">
        <v>400</v>
      </c>
      <c r="C56" s="86" t="s">
        <v>401</v>
      </c>
      <c r="D56" s="86" t="s">
        <v>206</v>
      </c>
      <c r="E56" s="86" t="s">
        <v>402</v>
      </c>
      <c r="F56" s="86" t="s">
        <v>403</v>
      </c>
      <c r="G56" s="86" t="s">
        <v>208</v>
      </c>
    </row>
    <row r="57" spans="1:7" ht="38.25" customHeight="1" x14ac:dyDescent="0.3">
      <c r="A57" s="87" t="s">
        <v>511</v>
      </c>
      <c r="B57" s="87" t="s">
        <v>512</v>
      </c>
      <c r="C57" s="87" t="s">
        <v>513</v>
      </c>
      <c r="D57" s="88" t="s">
        <v>514</v>
      </c>
      <c r="E57" s="88" t="s">
        <v>515</v>
      </c>
      <c r="F57" s="88" t="s">
        <v>516</v>
      </c>
      <c r="G57" s="88" t="s">
        <v>517</v>
      </c>
    </row>
    <row r="58" spans="1:7" ht="38.25" customHeight="1" x14ac:dyDescent="0.3">
      <c r="A58" s="87" t="s">
        <v>511</v>
      </c>
      <c r="B58" s="87" t="s">
        <v>518</v>
      </c>
      <c r="C58" s="87" t="s">
        <v>519</v>
      </c>
      <c r="D58" s="88" t="s">
        <v>514</v>
      </c>
      <c r="E58" s="88" t="s">
        <v>520</v>
      </c>
      <c r="F58" s="88" t="s">
        <v>521</v>
      </c>
      <c r="G58" s="88" t="s">
        <v>522</v>
      </c>
    </row>
    <row r="59" spans="1:7" ht="38.25" customHeight="1" x14ac:dyDescent="0.3">
      <c r="A59" s="87" t="s">
        <v>511</v>
      </c>
      <c r="B59" s="87" t="s">
        <v>523</v>
      </c>
      <c r="C59" s="87" t="s">
        <v>524</v>
      </c>
      <c r="D59" s="88" t="s">
        <v>514</v>
      </c>
      <c r="E59" s="88" t="s">
        <v>525</v>
      </c>
      <c r="F59" s="88" t="s">
        <v>526</v>
      </c>
      <c r="G59" s="88" t="s">
        <v>238</v>
      </c>
    </row>
    <row r="60" spans="1:7" ht="48.75" customHeight="1" x14ac:dyDescent="0.3">
      <c r="A60" s="198" t="s">
        <v>527</v>
      </c>
      <c r="B60" s="132"/>
      <c r="C60" s="132"/>
      <c r="D60" s="132"/>
      <c r="E60" s="132"/>
      <c r="F60" s="132"/>
      <c r="G60" s="133"/>
    </row>
    <row r="62" spans="1:7" ht="21.75" customHeight="1" x14ac:dyDescent="0.3">
      <c r="A62" s="197" t="s">
        <v>528</v>
      </c>
      <c r="B62" s="137"/>
      <c r="C62" s="137"/>
      <c r="D62" s="137"/>
      <c r="E62" s="137"/>
      <c r="F62" s="137"/>
      <c r="G62" s="137"/>
    </row>
    <row r="63" spans="1:7" ht="24" customHeight="1" x14ac:dyDescent="0.3">
      <c r="A63" s="86" t="s">
        <v>399</v>
      </c>
      <c r="B63" s="86" t="s">
        <v>400</v>
      </c>
      <c r="C63" s="86" t="s">
        <v>401</v>
      </c>
      <c r="D63" s="86" t="s">
        <v>206</v>
      </c>
      <c r="E63" s="86" t="s">
        <v>402</v>
      </c>
      <c r="F63" s="86" t="s">
        <v>403</v>
      </c>
      <c r="G63" s="86" t="s">
        <v>208</v>
      </c>
    </row>
    <row r="64" spans="1:7" ht="39.75" customHeight="1" x14ac:dyDescent="0.3">
      <c r="A64" s="87" t="s">
        <v>529</v>
      </c>
      <c r="B64" s="87" t="s">
        <v>530</v>
      </c>
      <c r="C64" s="87" t="s">
        <v>513</v>
      </c>
      <c r="D64" s="88" t="s">
        <v>531</v>
      </c>
      <c r="E64" s="88" t="s">
        <v>532</v>
      </c>
      <c r="F64" s="88" t="s">
        <v>533</v>
      </c>
      <c r="G64" s="88" t="s">
        <v>409</v>
      </c>
    </row>
    <row r="65" spans="1:7" ht="39.75" customHeight="1" x14ac:dyDescent="0.3">
      <c r="A65" s="87" t="s">
        <v>529</v>
      </c>
      <c r="B65" s="87" t="s">
        <v>534</v>
      </c>
      <c r="C65" s="87" t="s">
        <v>519</v>
      </c>
      <c r="D65" s="88" t="s">
        <v>531</v>
      </c>
      <c r="E65" s="88" t="s">
        <v>535</v>
      </c>
      <c r="F65" s="88" t="s">
        <v>536</v>
      </c>
      <c r="G65" s="88" t="s">
        <v>243</v>
      </c>
    </row>
    <row r="66" spans="1:7" ht="39.75" customHeight="1" x14ac:dyDescent="0.3">
      <c r="A66" s="87" t="s">
        <v>529</v>
      </c>
      <c r="B66" s="87" t="s">
        <v>537</v>
      </c>
      <c r="C66" s="87" t="s">
        <v>524</v>
      </c>
      <c r="D66" s="88" t="s">
        <v>531</v>
      </c>
      <c r="E66" s="88" t="s">
        <v>538</v>
      </c>
      <c r="F66" s="88" t="s">
        <v>539</v>
      </c>
      <c r="G66" s="88" t="s">
        <v>540</v>
      </c>
    </row>
    <row r="67" spans="1:7" ht="57" customHeight="1" x14ac:dyDescent="0.3">
      <c r="A67" s="198" t="s">
        <v>541</v>
      </c>
      <c r="B67" s="132"/>
      <c r="C67" s="132"/>
      <c r="D67" s="132"/>
      <c r="E67" s="132"/>
      <c r="F67" s="132"/>
      <c r="G67" s="133"/>
    </row>
    <row r="69" spans="1:7" ht="21.75" customHeight="1" x14ac:dyDescent="0.3">
      <c r="A69" s="197" t="s">
        <v>542</v>
      </c>
      <c r="B69" s="137"/>
      <c r="C69" s="137"/>
      <c r="D69" s="137"/>
      <c r="E69" s="137"/>
      <c r="F69" s="137"/>
      <c r="G69" s="137"/>
    </row>
    <row r="70" spans="1:7" ht="24" customHeight="1" x14ac:dyDescent="0.3">
      <c r="A70" s="86" t="s">
        <v>399</v>
      </c>
      <c r="B70" s="86" t="s">
        <v>400</v>
      </c>
      <c r="C70" s="86" t="s">
        <v>401</v>
      </c>
      <c r="D70" s="86" t="s">
        <v>206</v>
      </c>
      <c r="E70" s="86" t="s">
        <v>402</v>
      </c>
      <c r="F70" s="86" t="s">
        <v>403</v>
      </c>
      <c r="G70" s="86" t="s">
        <v>208</v>
      </c>
    </row>
    <row r="71" spans="1:7" ht="45" customHeight="1" x14ac:dyDescent="0.3">
      <c r="A71" s="87" t="s">
        <v>543</v>
      </c>
      <c r="B71" s="87" t="s">
        <v>244</v>
      </c>
      <c r="C71" s="87" t="s">
        <v>544</v>
      </c>
      <c r="D71" s="88" t="s">
        <v>545</v>
      </c>
      <c r="E71" s="88" t="s">
        <v>546</v>
      </c>
      <c r="F71" s="88" t="s">
        <v>547</v>
      </c>
      <c r="G71" s="88" t="s">
        <v>548</v>
      </c>
    </row>
    <row r="72" spans="1:7" ht="45" customHeight="1" x14ac:dyDescent="0.3">
      <c r="A72" s="87" t="s">
        <v>543</v>
      </c>
      <c r="B72" s="87" t="s">
        <v>549</v>
      </c>
      <c r="C72" s="87" t="s">
        <v>550</v>
      </c>
      <c r="D72" s="88" t="s">
        <v>545</v>
      </c>
      <c r="E72" s="88" t="s">
        <v>551</v>
      </c>
      <c r="F72" s="88" t="s">
        <v>552</v>
      </c>
      <c r="G72" s="88" t="s">
        <v>249</v>
      </c>
    </row>
    <row r="73" spans="1:7" ht="45" customHeight="1" x14ac:dyDescent="0.3">
      <c r="A73" s="87" t="s">
        <v>543</v>
      </c>
      <c r="B73" s="87" t="s">
        <v>553</v>
      </c>
      <c r="C73" s="87" t="s">
        <v>554</v>
      </c>
      <c r="D73" s="88" t="s">
        <v>545</v>
      </c>
      <c r="E73" s="88" t="s">
        <v>555</v>
      </c>
      <c r="F73" s="88" t="s">
        <v>556</v>
      </c>
      <c r="G73" s="88" t="s">
        <v>249</v>
      </c>
    </row>
    <row r="74" spans="1:7" ht="48" customHeight="1" x14ac:dyDescent="0.3">
      <c r="A74" s="198" t="s">
        <v>557</v>
      </c>
      <c r="B74" s="132"/>
      <c r="C74" s="132"/>
      <c r="D74" s="132"/>
      <c r="E74" s="132"/>
      <c r="F74" s="132"/>
      <c r="G74" s="133"/>
    </row>
    <row r="76" spans="1:7" ht="21.75" customHeight="1" x14ac:dyDescent="0.3">
      <c r="A76" s="197" t="s">
        <v>558</v>
      </c>
      <c r="B76" s="137"/>
      <c r="C76" s="137"/>
      <c r="D76" s="137"/>
      <c r="E76" s="137"/>
      <c r="F76" s="137"/>
      <c r="G76" s="137"/>
    </row>
    <row r="77" spans="1:7" ht="24" customHeight="1" x14ac:dyDescent="0.3">
      <c r="A77" s="86" t="s">
        <v>399</v>
      </c>
      <c r="B77" s="86" t="s">
        <v>400</v>
      </c>
      <c r="C77" s="86" t="s">
        <v>401</v>
      </c>
      <c r="D77" s="86" t="s">
        <v>206</v>
      </c>
      <c r="E77" s="86" t="s">
        <v>402</v>
      </c>
      <c r="F77" s="86" t="s">
        <v>403</v>
      </c>
      <c r="G77" s="86" t="s">
        <v>208</v>
      </c>
    </row>
    <row r="78" spans="1:7" ht="30" customHeight="1" x14ac:dyDescent="0.3">
      <c r="A78" s="87" t="s">
        <v>559</v>
      </c>
      <c r="B78" s="87" t="s">
        <v>560</v>
      </c>
      <c r="C78" s="87" t="s">
        <v>561</v>
      </c>
      <c r="D78" s="88" t="s">
        <v>562</v>
      </c>
      <c r="E78" s="88" t="s">
        <v>563</v>
      </c>
      <c r="F78" s="88" t="s">
        <v>564</v>
      </c>
      <c r="G78" s="88" t="s">
        <v>565</v>
      </c>
    </row>
    <row r="79" spans="1:7" ht="30" customHeight="1" x14ac:dyDescent="0.3">
      <c r="A79" s="87" t="s">
        <v>559</v>
      </c>
      <c r="B79" s="87" t="s">
        <v>566</v>
      </c>
      <c r="C79" s="87" t="s">
        <v>567</v>
      </c>
      <c r="D79" s="88" t="s">
        <v>562</v>
      </c>
      <c r="E79" s="88" t="s">
        <v>568</v>
      </c>
      <c r="F79" s="88" t="s">
        <v>569</v>
      </c>
      <c r="G79" s="88" t="s">
        <v>335</v>
      </c>
    </row>
    <row r="80" spans="1:7" ht="30" customHeight="1" x14ac:dyDescent="0.3">
      <c r="A80" s="87" t="s">
        <v>559</v>
      </c>
      <c r="B80" s="87" t="s">
        <v>570</v>
      </c>
      <c r="C80" s="87" t="s">
        <v>571</v>
      </c>
      <c r="D80" s="88" t="s">
        <v>562</v>
      </c>
      <c r="E80" s="88" t="s">
        <v>572</v>
      </c>
      <c r="F80" s="88" t="s">
        <v>573</v>
      </c>
      <c r="G80" s="88" t="s">
        <v>574</v>
      </c>
    </row>
    <row r="81" spans="1:7" ht="51" customHeight="1" x14ac:dyDescent="0.3">
      <c r="A81" s="198" t="s">
        <v>575</v>
      </c>
      <c r="B81" s="132"/>
      <c r="C81" s="132"/>
      <c r="D81" s="132"/>
      <c r="E81" s="132"/>
      <c r="F81" s="132"/>
      <c r="G81" s="133"/>
    </row>
    <row r="83" spans="1:7" ht="21.75" customHeight="1" x14ac:dyDescent="0.3">
      <c r="A83" s="197" t="s">
        <v>576</v>
      </c>
      <c r="B83" s="137"/>
      <c r="C83" s="137"/>
      <c r="D83" s="137"/>
      <c r="E83" s="137"/>
      <c r="F83" s="137"/>
      <c r="G83" s="137"/>
    </row>
    <row r="84" spans="1:7" ht="24" customHeight="1" x14ac:dyDescent="0.3">
      <c r="A84" s="86" t="s">
        <v>399</v>
      </c>
      <c r="B84" s="86" t="s">
        <v>400</v>
      </c>
      <c r="C84" s="86" t="s">
        <v>401</v>
      </c>
      <c r="D84" s="86" t="s">
        <v>206</v>
      </c>
      <c r="E84" s="86" t="s">
        <v>402</v>
      </c>
      <c r="F84" s="86" t="s">
        <v>403</v>
      </c>
      <c r="G84" s="86" t="s">
        <v>208</v>
      </c>
    </row>
    <row r="85" spans="1:7" ht="43.5" customHeight="1" x14ac:dyDescent="0.3">
      <c r="A85" s="87" t="s">
        <v>577</v>
      </c>
      <c r="B85" s="87" t="s">
        <v>578</v>
      </c>
      <c r="C85" s="87" t="s">
        <v>579</v>
      </c>
      <c r="D85" s="88" t="s">
        <v>580</v>
      </c>
      <c r="E85" s="88" t="s">
        <v>581</v>
      </c>
      <c r="F85" s="88" t="s">
        <v>582</v>
      </c>
      <c r="G85" s="88" t="s">
        <v>583</v>
      </c>
    </row>
    <row r="86" spans="1:7" ht="43.5" customHeight="1" x14ac:dyDescent="0.3">
      <c r="A86" s="87" t="s">
        <v>577</v>
      </c>
      <c r="B86" s="87" t="s">
        <v>584</v>
      </c>
      <c r="C86" s="87" t="s">
        <v>585</v>
      </c>
      <c r="D86" s="88" t="s">
        <v>580</v>
      </c>
      <c r="E86" s="88" t="s">
        <v>586</v>
      </c>
      <c r="F86" s="88" t="s">
        <v>587</v>
      </c>
      <c r="G86" s="88" t="s">
        <v>257</v>
      </c>
    </row>
    <row r="87" spans="1:7" ht="43.5" customHeight="1" x14ac:dyDescent="0.3">
      <c r="A87" s="87" t="s">
        <v>577</v>
      </c>
      <c r="B87" s="87" t="s">
        <v>588</v>
      </c>
      <c r="C87" s="87" t="s">
        <v>589</v>
      </c>
      <c r="D87" s="88" t="s">
        <v>580</v>
      </c>
      <c r="E87" s="88" t="s">
        <v>590</v>
      </c>
      <c r="F87" s="88" t="s">
        <v>591</v>
      </c>
      <c r="G87" s="88" t="s">
        <v>592</v>
      </c>
    </row>
    <row r="88" spans="1:7" ht="43.5" customHeight="1" x14ac:dyDescent="0.3">
      <c r="A88" s="87" t="s">
        <v>577</v>
      </c>
      <c r="B88" s="87" t="s">
        <v>593</v>
      </c>
      <c r="C88" s="87" t="s">
        <v>594</v>
      </c>
      <c r="D88" s="88" t="s">
        <v>580</v>
      </c>
      <c r="E88" s="88" t="s">
        <v>595</v>
      </c>
      <c r="F88" s="88" t="s">
        <v>596</v>
      </c>
      <c r="G88" s="88" t="s">
        <v>597</v>
      </c>
    </row>
    <row r="89" spans="1:7" ht="54.75" customHeight="1" x14ac:dyDescent="0.3">
      <c r="A89" s="198" t="s">
        <v>598</v>
      </c>
      <c r="B89" s="132"/>
      <c r="C89" s="132"/>
      <c r="D89" s="132"/>
      <c r="E89" s="132"/>
      <c r="F89" s="132"/>
      <c r="G89" s="133"/>
    </row>
    <row r="91" spans="1:7" ht="21.75" customHeight="1" x14ac:dyDescent="0.3">
      <c r="A91" s="197" t="s">
        <v>599</v>
      </c>
      <c r="B91" s="137"/>
      <c r="C91" s="137"/>
      <c r="D91" s="137"/>
      <c r="E91" s="137"/>
      <c r="F91" s="137"/>
      <c r="G91" s="137"/>
    </row>
    <row r="92" spans="1:7" ht="24" customHeight="1" x14ac:dyDescent="0.3">
      <c r="A92" s="86" t="s">
        <v>399</v>
      </c>
      <c r="B92" s="86" t="s">
        <v>400</v>
      </c>
      <c r="C92" s="86" t="s">
        <v>401</v>
      </c>
      <c r="D92" s="86" t="s">
        <v>206</v>
      </c>
      <c r="E92" s="86" t="s">
        <v>402</v>
      </c>
      <c r="F92" s="86" t="s">
        <v>403</v>
      </c>
      <c r="G92" s="86" t="s">
        <v>208</v>
      </c>
    </row>
    <row r="93" spans="1:7" ht="50.25" customHeight="1" x14ac:dyDescent="0.3">
      <c r="A93" s="87" t="s">
        <v>600</v>
      </c>
      <c r="B93" s="87" t="s">
        <v>601</v>
      </c>
      <c r="C93" s="87" t="s">
        <v>602</v>
      </c>
      <c r="D93" s="88" t="s">
        <v>603</v>
      </c>
      <c r="E93" s="88" t="s">
        <v>604</v>
      </c>
      <c r="F93" s="88" t="s">
        <v>605</v>
      </c>
      <c r="G93" s="88" t="s">
        <v>330</v>
      </c>
    </row>
    <row r="94" spans="1:7" ht="50.25" customHeight="1" x14ac:dyDescent="0.3">
      <c r="A94" s="87" t="s">
        <v>600</v>
      </c>
      <c r="B94" s="87" t="s">
        <v>606</v>
      </c>
      <c r="C94" s="87" t="s">
        <v>607</v>
      </c>
      <c r="D94" s="88" t="s">
        <v>603</v>
      </c>
      <c r="E94" s="88" t="s">
        <v>608</v>
      </c>
      <c r="F94" s="88" t="s">
        <v>609</v>
      </c>
      <c r="G94" s="88" t="s">
        <v>268</v>
      </c>
    </row>
    <row r="95" spans="1:7" ht="50.25" customHeight="1" x14ac:dyDescent="0.3">
      <c r="A95" s="87" t="s">
        <v>600</v>
      </c>
      <c r="B95" s="87" t="s">
        <v>610</v>
      </c>
      <c r="C95" s="87" t="s">
        <v>611</v>
      </c>
      <c r="D95" s="88" t="s">
        <v>603</v>
      </c>
      <c r="E95" s="88" t="s">
        <v>612</v>
      </c>
      <c r="F95" s="88" t="s">
        <v>613</v>
      </c>
      <c r="G95" s="88" t="s">
        <v>421</v>
      </c>
    </row>
    <row r="96" spans="1:7" ht="50.25" customHeight="1" x14ac:dyDescent="0.3">
      <c r="A96" s="87" t="s">
        <v>600</v>
      </c>
      <c r="B96" s="87" t="s">
        <v>614</v>
      </c>
      <c r="C96" s="87" t="s">
        <v>615</v>
      </c>
      <c r="D96" s="88" t="s">
        <v>616</v>
      </c>
      <c r="E96" s="88" t="s">
        <v>617</v>
      </c>
      <c r="F96" s="88" t="s">
        <v>618</v>
      </c>
      <c r="G96" s="88" t="s">
        <v>301</v>
      </c>
    </row>
    <row r="97" spans="1:7" ht="47.25" customHeight="1" x14ac:dyDescent="0.3">
      <c r="A97" s="198" t="s">
        <v>619</v>
      </c>
      <c r="B97" s="132"/>
      <c r="C97" s="132"/>
      <c r="D97" s="132"/>
      <c r="E97" s="132"/>
      <c r="F97" s="132"/>
      <c r="G97" s="133"/>
    </row>
    <row r="99" spans="1:7" ht="21.75" customHeight="1" x14ac:dyDescent="0.3">
      <c r="A99" s="197" t="s">
        <v>620</v>
      </c>
      <c r="B99" s="137"/>
      <c r="C99" s="137"/>
      <c r="D99" s="137"/>
      <c r="E99" s="137"/>
      <c r="F99" s="137"/>
      <c r="G99" s="137"/>
    </row>
    <row r="100" spans="1:7" ht="24" customHeight="1" x14ac:dyDescent="0.3">
      <c r="A100" s="86" t="s">
        <v>399</v>
      </c>
      <c r="B100" s="86" t="s">
        <v>400</v>
      </c>
      <c r="C100" s="86" t="s">
        <v>401</v>
      </c>
      <c r="D100" s="86" t="s">
        <v>206</v>
      </c>
      <c r="E100" s="86" t="s">
        <v>402</v>
      </c>
      <c r="F100" s="86" t="s">
        <v>403</v>
      </c>
      <c r="G100" s="86" t="s">
        <v>208</v>
      </c>
    </row>
    <row r="101" spans="1:7" ht="42" customHeight="1" x14ac:dyDescent="0.3">
      <c r="A101" s="87" t="s">
        <v>621</v>
      </c>
      <c r="B101" s="87" t="s">
        <v>622</v>
      </c>
      <c r="C101" s="87" t="s">
        <v>623</v>
      </c>
      <c r="D101" s="88" t="s">
        <v>624</v>
      </c>
      <c r="E101" s="88" t="s">
        <v>625</v>
      </c>
      <c r="F101" s="88" t="s">
        <v>626</v>
      </c>
      <c r="G101" s="88" t="s">
        <v>627</v>
      </c>
    </row>
    <row r="102" spans="1:7" ht="42" customHeight="1" x14ac:dyDescent="0.3">
      <c r="A102" s="87" t="s">
        <v>621</v>
      </c>
      <c r="B102" s="87" t="s">
        <v>628</v>
      </c>
      <c r="C102" s="87" t="s">
        <v>629</v>
      </c>
      <c r="D102" s="88" t="s">
        <v>624</v>
      </c>
      <c r="E102" s="88" t="s">
        <v>630</v>
      </c>
      <c r="F102" s="88" t="s">
        <v>631</v>
      </c>
      <c r="G102" s="88" t="s">
        <v>279</v>
      </c>
    </row>
    <row r="103" spans="1:7" ht="42" customHeight="1" x14ac:dyDescent="0.3">
      <c r="A103" s="87" t="s">
        <v>621</v>
      </c>
      <c r="B103" s="87" t="s">
        <v>632</v>
      </c>
      <c r="C103" s="87" t="s">
        <v>633</v>
      </c>
      <c r="D103" s="88" t="s">
        <v>624</v>
      </c>
      <c r="E103" s="88" t="s">
        <v>634</v>
      </c>
      <c r="F103" s="88" t="s">
        <v>635</v>
      </c>
      <c r="G103" s="88" t="s">
        <v>627</v>
      </c>
    </row>
    <row r="104" spans="1:7" ht="48" customHeight="1" x14ac:dyDescent="0.3">
      <c r="A104" s="198" t="s">
        <v>636</v>
      </c>
      <c r="B104" s="132"/>
      <c r="C104" s="132"/>
      <c r="D104" s="132"/>
      <c r="E104" s="132"/>
      <c r="F104" s="132"/>
      <c r="G104" s="133"/>
    </row>
    <row r="106" spans="1:7" ht="21.75" customHeight="1" x14ac:dyDescent="0.3">
      <c r="A106" s="197" t="s">
        <v>637</v>
      </c>
      <c r="B106" s="137"/>
      <c r="C106" s="137"/>
      <c r="D106" s="137"/>
      <c r="E106" s="137"/>
      <c r="F106" s="137"/>
      <c r="G106" s="137"/>
    </row>
    <row r="107" spans="1:7" ht="24" customHeight="1" x14ac:dyDescent="0.3">
      <c r="A107" s="86" t="s">
        <v>399</v>
      </c>
      <c r="B107" s="86" t="s">
        <v>400</v>
      </c>
      <c r="C107" s="86" t="s">
        <v>401</v>
      </c>
      <c r="D107" s="86" t="s">
        <v>206</v>
      </c>
      <c r="E107" s="86" t="s">
        <v>402</v>
      </c>
      <c r="F107" s="86" t="s">
        <v>403</v>
      </c>
      <c r="G107" s="86" t="s">
        <v>208</v>
      </c>
    </row>
    <row r="108" spans="1:7" ht="45" customHeight="1" x14ac:dyDescent="0.3">
      <c r="A108" s="87" t="s">
        <v>638</v>
      </c>
      <c r="B108" s="87" t="s">
        <v>639</v>
      </c>
      <c r="C108" s="87" t="s">
        <v>640</v>
      </c>
      <c r="D108" s="88" t="s">
        <v>641</v>
      </c>
      <c r="E108" s="88" t="s">
        <v>642</v>
      </c>
      <c r="F108" s="88" t="s">
        <v>643</v>
      </c>
      <c r="G108" s="88" t="s">
        <v>330</v>
      </c>
    </row>
    <row r="109" spans="1:7" ht="45" customHeight="1" x14ac:dyDescent="0.3">
      <c r="A109" s="87" t="s">
        <v>638</v>
      </c>
      <c r="B109" s="87" t="s">
        <v>644</v>
      </c>
      <c r="C109" s="87" t="s">
        <v>645</v>
      </c>
      <c r="D109" s="88" t="s">
        <v>641</v>
      </c>
      <c r="E109" s="88" t="s">
        <v>646</v>
      </c>
      <c r="F109" s="88" t="s">
        <v>647</v>
      </c>
      <c r="G109" s="88" t="s">
        <v>216</v>
      </c>
    </row>
    <row r="110" spans="1:7" ht="45" customHeight="1" x14ac:dyDescent="0.3">
      <c r="A110" s="87" t="s">
        <v>638</v>
      </c>
      <c r="B110" s="87" t="s">
        <v>648</v>
      </c>
      <c r="C110" s="87" t="s">
        <v>649</v>
      </c>
      <c r="D110" s="88" t="s">
        <v>641</v>
      </c>
      <c r="E110" s="88" t="s">
        <v>650</v>
      </c>
      <c r="F110" s="88" t="s">
        <v>651</v>
      </c>
      <c r="G110" s="88" t="s">
        <v>421</v>
      </c>
    </row>
    <row r="111" spans="1:7" ht="47.25" customHeight="1" x14ac:dyDescent="0.3">
      <c r="A111" s="198" t="s">
        <v>652</v>
      </c>
      <c r="B111" s="132"/>
      <c r="C111" s="132"/>
      <c r="D111" s="132"/>
      <c r="E111" s="132"/>
      <c r="F111" s="132"/>
      <c r="G111" s="133"/>
    </row>
    <row r="113" spans="1:7" ht="21.75" customHeight="1" x14ac:dyDescent="0.3">
      <c r="A113" s="197" t="s">
        <v>653</v>
      </c>
      <c r="B113" s="137"/>
      <c r="C113" s="137"/>
      <c r="D113" s="137"/>
      <c r="E113" s="137"/>
      <c r="F113" s="137"/>
      <c r="G113" s="137"/>
    </row>
    <row r="114" spans="1:7" ht="24" customHeight="1" x14ac:dyDescent="0.3">
      <c r="A114" s="86" t="s">
        <v>399</v>
      </c>
      <c r="B114" s="86" t="s">
        <v>400</v>
      </c>
      <c r="C114" s="86" t="s">
        <v>401</v>
      </c>
      <c r="D114" s="86" t="s">
        <v>206</v>
      </c>
      <c r="E114" s="86" t="s">
        <v>402</v>
      </c>
      <c r="F114" s="86" t="s">
        <v>403</v>
      </c>
      <c r="G114" s="86" t="s">
        <v>208</v>
      </c>
    </row>
    <row r="115" spans="1:7" ht="44.25" customHeight="1" x14ac:dyDescent="0.3">
      <c r="A115" s="87" t="s">
        <v>654</v>
      </c>
      <c r="B115" s="87" t="s">
        <v>655</v>
      </c>
      <c r="C115" s="87" t="s">
        <v>656</v>
      </c>
      <c r="D115" s="88" t="s">
        <v>657</v>
      </c>
      <c r="E115" s="88" t="s">
        <v>658</v>
      </c>
      <c r="F115" s="88" t="s">
        <v>659</v>
      </c>
      <c r="G115" s="88" t="s">
        <v>268</v>
      </c>
    </row>
    <row r="116" spans="1:7" ht="44.25" customHeight="1" x14ac:dyDescent="0.3">
      <c r="A116" s="87" t="s">
        <v>654</v>
      </c>
      <c r="B116" s="87" t="s">
        <v>660</v>
      </c>
      <c r="C116" s="87" t="s">
        <v>661</v>
      </c>
      <c r="D116" s="88" t="s">
        <v>657</v>
      </c>
      <c r="E116" s="88" t="s">
        <v>662</v>
      </c>
      <c r="F116" s="88" t="s">
        <v>663</v>
      </c>
      <c r="G116" s="88" t="s">
        <v>262</v>
      </c>
    </row>
    <row r="117" spans="1:7" ht="44.25" customHeight="1" x14ac:dyDescent="0.3">
      <c r="A117" s="87" t="s">
        <v>654</v>
      </c>
      <c r="B117" s="87" t="s">
        <v>664</v>
      </c>
      <c r="C117" s="87" t="s">
        <v>665</v>
      </c>
      <c r="D117" s="88" t="s">
        <v>657</v>
      </c>
      <c r="E117" s="88" t="s">
        <v>666</v>
      </c>
      <c r="F117" s="88" t="s">
        <v>667</v>
      </c>
      <c r="G117" s="88" t="s">
        <v>668</v>
      </c>
    </row>
    <row r="118" spans="1:7" ht="57.75" customHeight="1" x14ac:dyDescent="0.3">
      <c r="A118" s="198" t="s">
        <v>669</v>
      </c>
      <c r="B118" s="132"/>
      <c r="C118" s="132"/>
      <c r="D118" s="132"/>
      <c r="E118" s="132"/>
      <c r="F118" s="132"/>
      <c r="G118" s="133"/>
    </row>
    <row r="120" spans="1:7" ht="21.75" customHeight="1" x14ac:dyDescent="0.3">
      <c r="A120" s="197" t="s">
        <v>670</v>
      </c>
      <c r="B120" s="137"/>
      <c r="C120" s="137"/>
      <c r="D120" s="137"/>
      <c r="E120" s="137"/>
      <c r="F120" s="137"/>
      <c r="G120" s="137"/>
    </row>
    <row r="121" spans="1:7" ht="24" customHeight="1" x14ac:dyDescent="0.3">
      <c r="A121" s="86" t="s">
        <v>399</v>
      </c>
      <c r="B121" s="86" t="s">
        <v>400</v>
      </c>
      <c r="C121" s="86" t="s">
        <v>401</v>
      </c>
      <c r="D121" s="86" t="s">
        <v>206</v>
      </c>
      <c r="E121" s="86" t="s">
        <v>402</v>
      </c>
      <c r="F121" s="86" t="s">
        <v>403</v>
      </c>
      <c r="G121" s="86" t="s">
        <v>208</v>
      </c>
    </row>
    <row r="122" spans="1:7" ht="44.25" customHeight="1" x14ac:dyDescent="0.3">
      <c r="A122" s="87" t="s">
        <v>671</v>
      </c>
      <c r="B122" s="87" t="s">
        <v>672</v>
      </c>
      <c r="C122" s="87" t="s">
        <v>673</v>
      </c>
      <c r="D122" s="88" t="s">
        <v>674</v>
      </c>
      <c r="E122" s="88" t="s">
        <v>675</v>
      </c>
      <c r="F122" s="88" t="s">
        <v>676</v>
      </c>
      <c r="G122" s="88" t="s">
        <v>216</v>
      </c>
    </row>
    <row r="123" spans="1:7" ht="44.25" customHeight="1" x14ac:dyDescent="0.3">
      <c r="A123" s="87" t="s">
        <v>671</v>
      </c>
      <c r="B123" s="87" t="s">
        <v>677</v>
      </c>
      <c r="C123" s="87" t="s">
        <v>678</v>
      </c>
      <c r="D123" s="88" t="s">
        <v>674</v>
      </c>
      <c r="E123" s="88" t="s">
        <v>679</v>
      </c>
      <c r="F123" s="88" t="s">
        <v>680</v>
      </c>
      <c r="G123" s="88" t="s">
        <v>273</v>
      </c>
    </row>
    <row r="124" spans="1:7" ht="44.25" customHeight="1" x14ac:dyDescent="0.3">
      <c r="A124" s="87" t="s">
        <v>671</v>
      </c>
      <c r="B124" s="87" t="s">
        <v>681</v>
      </c>
      <c r="C124" s="87" t="s">
        <v>682</v>
      </c>
      <c r="D124" s="88" t="s">
        <v>674</v>
      </c>
      <c r="E124" s="88" t="s">
        <v>683</v>
      </c>
      <c r="F124" s="88" t="s">
        <v>684</v>
      </c>
      <c r="G124" s="88" t="s">
        <v>216</v>
      </c>
    </row>
    <row r="125" spans="1:7" ht="54" customHeight="1" x14ac:dyDescent="0.3">
      <c r="A125" s="198" t="s">
        <v>685</v>
      </c>
      <c r="B125" s="132"/>
      <c r="C125" s="132"/>
      <c r="D125" s="132"/>
      <c r="E125" s="132"/>
      <c r="F125" s="132"/>
      <c r="G125" s="133"/>
    </row>
    <row r="127" spans="1:7" ht="21.75" customHeight="1" x14ac:dyDescent="0.3">
      <c r="A127" s="197" t="s">
        <v>686</v>
      </c>
      <c r="B127" s="137"/>
      <c r="C127" s="137"/>
      <c r="D127" s="137"/>
      <c r="E127" s="137"/>
      <c r="F127" s="137"/>
      <c r="G127" s="137"/>
    </row>
    <row r="128" spans="1:7" ht="24" customHeight="1" x14ac:dyDescent="0.3">
      <c r="A128" s="86" t="s">
        <v>399</v>
      </c>
      <c r="B128" s="86" t="s">
        <v>400</v>
      </c>
      <c r="C128" s="86" t="s">
        <v>401</v>
      </c>
      <c r="D128" s="86" t="s">
        <v>206</v>
      </c>
      <c r="E128" s="86" t="s">
        <v>402</v>
      </c>
      <c r="F128" s="86" t="s">
        <v>403</v>
      </c>
      <c r="G128" s="86" t="s">
        <v>208</v>
      </c>
    </row>
    <row r="129" spans="1:7" ht="50.25" customHeight="1" x14ac:dyDescent="0.3">
      <c r="A129" s="87" t="s">
        <v>687</v>
      </c>
      <c r="B129" s="87" t="s">
        <v>688</v>
      </c>
      <c r="C129" s="87" t="s">
        <v>689</v>
      </c>
      <c r="D129" s="88" t="s">
        <v>690</v>
      </c>
      <c r="E129" s="88" t="s">
        <v>691</v>
      </c>
      <c r="F129" s="88" t="s">
        <v>692</v>
      </c>
      <c r="G129" s="88" t="s">
        <v>321</v>
      </c>
    </row>
    <row r="130" spans="1:7" ht="50.25" customHeight="1" x14ac:dyDescent="0.3">
      <c r="A130" s="87" t="s">
        <v>687</v>
      </c>
      <c r="B130" s="87" t="s">
        <v>693</v>
      </c>
      <c r="C130" s="87" t="s">
        <v>694</v>
      </c>
      <c r="D130" s="88" t="s">
        <v>690</v>
      </c>
      <c r="E130" s="88" t="s">
        <v>695</v>
      </c>
      <c r="F130" s="88" t="s">
        <v>696</v>
      </c>
      <c r="G130" s="88" t="s">
        <v>238</v>
      </c>
    </row>
    <row r="131" spans="1:7" ht="50.25" customHeight="1" x14ac:dyDescent="0.3">
      <c r="A131" s="87" t="s">
        <v>687</v>
      </c>
      <c r="B131" s="87" t="s">
        <v>697</v>
      </c>
      <c r="C131" s="87" t="s">
        <v>698</v>
      </c>
      <c r="D131" s="88" t="s">
        <v>690</v>
      </c>
      <c r="E131" s="88" t="s">
        <v>699</v>
      </c>
      <c r="F131" s="88" t="s">
        <v>700</v>
      </c>
      <c r="G131" s="88" t="s">
        <v>321</v>
      </c>
    </row>
    <row r="132" spans="1:7" ht="51" customHeight="1" x14ac:dyDescent="0.3">
      <c r="A132" s="198" t="s">
        <v>701</v>
      </c>
      <c r="B132" s="132"/>
      <c r="C132" s="132"/>
      <c r="D132" s="132"/>
      <c r="E132" s="132"/>
      <c r="F132" s="132"/>
      <c r="G132" s="133"/>
    </row>
    <row r="134" spans="1:7" ht="21.75" customHeight="1" x14ac:dyDescent="0.3">
      <c r="A134" s="197" t="s">
        <v>702</v>
      </c>
      <c r="B134" s="137"/>
      <c r="C134" s="137"/>
      <c r="D134" s="137"/>
      <c r="E134" s="137"/>
      <c r="F134" s="137"/>
      <c r="G134" s="137"/>
    </row>
    <row r="135" spans="1:7" ht="24" customHeight="1" x14ac:dyDescent="0.3">
      <c r="A135" s="86" t="s">
        <v>399</v>
      </c>
      <c r="B135" s="86" t="s">
        <v>400</v>
      </c>
      <c r="C135" s="86" t="s">
        <v>401</v>
      </c>
      <c r="D135" s="86" t="s">
        <v>206</v>
      </c>
      <c r="E135" s="86" t="s">
        <v>402</v>
      </c>
      <c r="F135" s="86" t="s">
        <v>403</v>
      </c>
      <c r="G135" s="86" t="s">
        <v>208</v>
      </c>
    </row>
    <row r="136" spans="1:7" ht="48" customHeight="1" x14ac:dyDescent="0.3">
      <c r="A136" s="87" t="s">
        <v>703</v>
      </c>
      <c r="B136" s="87" t="s">
        <v>672</v>
      </c>
      <c r="C136" s="87" t="s">
        <v>704</v>
      </c>
      <c r="D136" s="88" t="s">
        <v>705</v>
      </c>
      <c r="E136" s="88" t="s">
        <v>706</v>
      </c>
      <c r="F136" s="88" t="s">
        <v>707</v>
      </c>
      <c r="G136" s="88" t="s">
        <v>343</v>
      </c>
    </row>
    <row r="137" spans="1:7" ht="48" customHeight="1" x14ac:dyDescent="0.3">
      <c r="A137" s="87" t="s">
        <v>703</v>
      </c>
      <c r="B137" s="87" t="s">
        <v>708</v>
      </c>
      <c r="C137" s="87" t="s">
        <v>709</v>
      </c>
      <c r="D137" s="88" t="s">
        <v>705</v>
      </c>
      <c r="E137" s="88" t="s">
        <v>710</v>
      </c>
      <c r="F137" s="88" t="s">
        <v>711</v>
      </c>
      <c r="G137" s="88" t="s">
        <v>712</v>
      </c>
    </row>
    <row r="138" spans="1:7" ht="48" customHeight="1" x14ac:dyDescent="0.3">
      <c r="A138" s="87" t="s">
        <v>703</v>
      </c>
      <c r="B138" s="87" t="s">
        <v>713</v>
      </c>
      <c r="C138" s="87" t="s">
        <v>714</v>
      </c>
      <c r="D138" s="88" t="s">
        <v>705</v>
      </c>
      <c r="E138" s="88" t="s">
        <v>715</v>
      </c>
      <c r="F138" s="88" t="s">
        <v>716</v>
      </c>
      <c r="G138" s="88" t="s">
        <v>343</v>
      </c>
    </row>
    <row r="139" spans="1:7" ht="49.5" customHeight="1" x14ac:dyDescent="0.3">
      <c r="A139" s="198" t="s">
        <v>717</v>
      </c>
      <c r="B139" s="132"/>
      <c r="C139" s="132"/>
      <c r="D139" s="132"/>
      <c r="E139" s="132"/>
      <c r="F139" s="132"/>
      <c r="G139" s="133"/>
    </row>
    <row r="141" spans="1:7" ht="21.75" customHeight="1" x14ac:dyDescent="0.3">
      <c r="A141" s="197" t="s">
        <v>718</v>
      </c>
      <c r="B141" s="137"/>
      <c r="C141" s="137"/>
      <c r="D141" s="137"/>
      <c r="E141" s="137"/>
      <c r="F141" s="137"/>
      <c r="G141" s="137"/>
    </row>
    <row r="142" spans="1:7" ht="24" customHeight="1" x14ac:dyDescent="0.3">
      <c r="A142" s="86" t="s">
        <v>399</v>
      </c>
      <c r="B142" s="86" t="s">
        <v>400</v>
      </c>
      <c r="C142" s="86" t="s">
        <v>401</v>
      </c>
      <c r="D142" s="86" t="s">
        <v>206</v>
      </c>
      <c r="E142" s="86" t="s">
        <v>402</v>
      </c>
      <c r="F142" s="86" t="s">
        <v>403</v>
      </c>
      <c r="G142" s="86" t="s">
        <v>208</v>
      </c>
    </row>
    <row r="143" spans="1:7" ht="41.25" customHeight="1" x14ac:dyDescent="0.3">
      <c r="A143" s="87" t="s">
        <v>719</v>
      </c>
      <c r="B143" s="87" t="s">
        <v>560</v>
      </c>
      <c r="C143" s="87" t="s">
        <v>720</v>
      </c>
      <c r="D143" s="88" t="s">
        <v>721</v>
      </c>
      <c r="E143" s="88" t="s">
        <v>722</v>
      </c>
      <c r="F143" s="88" t="s">
        <v>723</v>
      </c>
      <c r="G143" s="88" t="s">
        <v>353</v>
      </c>
    </row>
    <row r="144" spans="1:7" ht="41.25" customHeight="1" x14ac:dyDescent="0.3">
      <c r="A144" s="87" t="s">
        <v>719</v>
      </c>
      <c r="B144" s="87" t="s">
        <v>724</v>
      </c>
      <c r="C144" s="87" t="s">
        <v>725</v>
      </c>
      <c r="D144" s="88" t="s">
        <v>721</v>
      </c>
      <c r="E144" s="88" t="s">
        <v>726</v>
      </c>
      <c r="F144" s="88" t="s">
        <v>727</v>
      </c>
      <c r="G144" s="88" t="s">
        <v>728</v>
      </c>
    </row>
    <row r="145" spans="1:7" ht="41.25" customHeight="1" x14ac:dyDescent="0.3">
      <c r="A145" s="87" t="s">
        <v>719</v>
      </c>
      <c r="B145" s="87" t="s">
        <v>729</v>
      </c>
      <c r="C145" s="87" t="s">
        <v>730</v>
      </c>
      <c r="D145" s="88" t="s">
        <v>721</v>
      </c>
      <c r="E145" s="88" t="s">
        <v>731</v>
      </c>
      <c r="F145" s="88" t="s">
        <v>732</v>
      </c>
      <c r="G145" s="88" t="s">
        <v>728</v>
      </c>
    </row>
    <row r="146" spans="1:7" ht="41.25" customHeight="1" x14ac:dyDescent="0.3">
      <c r="A146" s="87" t="s">
        <v>719</v>
      </c>
      <c r="B146" s="87" t="s">
        <v>733</v>
      </c>
      <c r="C146" s="87" t="s">
        <v>734</v>
      </c>
      <c r="D146" s="88" t="s">
        <v>721</v>
      </c>
      <c r="E146" s="88" t="s">
        <v>735</v>
      </c>
      <c r="F146" s="88" t="s">
        <v>736</v>
      </c>
      <c r="G146" s="88" t="s">
        <v>353</v>
      </c>
    </row>
    <row r="147" spans="1:7" ht="41.25" customHeight="1" x14ac:dyDescent="0.3">
      <c r="A147" s="87" t="s">
        <v>719</v>
      </c>
      <c r="B147" s="87" t="s">
        <v>737</v>
      </c>
      <c r="C147" s="87" t="s">
        <v>738</v>
      </c>
      <c r="D147" s="88" t="s">
        <v>721</v>
      </c>
      <c r="E147" s="88" t="s">
        <v>739</v>
      </c>
      <c r="F147" s="88" t="s">
        <v>740</v>
      </c>
      <c r="G147" s="88" t="s">
        <v>741</v>
      </c>
    </row>
    <row r="148" spans="1:7" ht="51.75" customHeight="1" x14ac:dyDescent="0.3">
      <c r="A148" s="198" t="s">
        <v>742</v>
      </c>
      <c r="B148" s="132"/>
      <c r="C148" s="132"/>
      <c r="D148" s="132"/>
      <c r="E148" s="132"/>
      <c r="F148" s="132"/>
      <c r="G148" s="133"/>
    </row>
    <row r="150" spans="1:7" ht="21.75" customHeight="1" x14ac:dyDescent="0.3">
      <c r="A150" s="197" t="s">
        <v>743</v>
      </c>
      <c r="B150" s="137"/>
      <c r="C150" s="137"/>
      <c r="D150" s="137"/>
      <c r="E150" s="137"/>
      <c r="F150" s="137"/>
      <c r="G150" s="137"/>
    </row>
    <row r="151" spans="1:7" ht="24" customHeight="1" x14ac:dyDescent="0.3">
      <c r="A151" s="86" t="s">
        <v>399</v>
      </c>
      <c r="B151" s="86" t="s">
        <v>400</v>
      </c>
      <c r="C151" s="86" t="s">
        <v>401</v>
      </c>
      <c r="D151" s="86" t="s">
        <v>206</v>
      </c>
      <c r="E151" s="86" t="s">
        <v>402</v>
      </c>
      <c r="F151" s="86" t="s">
        <v>403</v>
      </c>
      <c r="G151" s="86" t="s">
        <v>208</v>
      </c>
    </row>
    <row r="152" spans="1:7" ht="53.25" customHeight="1" x14ac:dyDescent="0.3">
      <c r="A152" s="87" t="s">
        <v>744</v>
      </c>
      <c r="B152" s="90" t="s">
        <v>745</v>
      </c>
      <c r="C152" s="87" t="s">
        <v>746</v>
      </c>
      <c r="D152" s="88" t="s">
        <v>747</v>
      </c>
      <c r="E152" s="88" t="s">
        <v>748</v>
      </c>
      <c r="F152" s="88" t="s">
        <v>749</v>
      </c>
      <c r="G152" s="88"/>
    </row>
    <row r="153" spans="1:7" ht="53.25" customHeight="1" x14ac:dyDescent="0.3">
      <c r="A153" s="87" t="s">
        <v>744</v>
      </c>
      <c r="B153" s="90" t="s">
        <v>750</v>
      </c>
      <c r="C153" s="87" t="s">
        <v>751</v>
      </c>
      <c r="D153" s="88" t="s">
        <v>747</v>
      </c>
      <c r="E153" s="88" t="s">
        <v>752</v>
      </c>
      <c r="F153" s="88" t="s">
        <v>753</v>
      </c>
      <c r="G153" s="88"/>
    </row>
    <row r="154" spans="1:7" ht="53.25" customHeight="1" x14ac:dyDescent="0.3">
      <c r="A154" s="87" t="s">
        <v>744</v>
      </c>
      <c r="B154" s="90" t="s">
        <v>754</v>
      </c>
      <c r="C154" s="87" t="s">
        <v>755</v>
      </c>
      <c r="D154" s="88" t="s">
        <v>747</v>
      </c>
      <c r="E154" s="88" t="s">
        <v>756</v>
      </c>
      <c r="F154" s="88" t="s">
        <v>757</v>
      </c>
      <c r="G154" s="88"/>
    </row>
    <row r="155" spans="1:7" ht="51" customHeight="1" x14ac:dyDescent="0.3">
      <c r="A155" s="198" t="s">
        <v>758</v>
      </c>
      <c r="B155" s="132"/>
      <c r="C155" s="132"/>
      <c r="D155" s="132"/>
      <c r="E155" s="132"/>
      <c r="F155" s="132"/>
      <c r="G155" s="133"/>
    </row>
    <row r="157" spans="1:7" ht="21.75" customHeight="1" x14ac:dyDescent="0.3">
      <c r="A157" s="197" t="s">
        <v>759</v>
      </c>
      <c r="B157" s="137"/>
      <c r="C157" s="137"/>
      <c r="D157" s="137"/>
      <c r="E157" s="137"/>
      <c r="F157" s="137"/>
      <c r="G157" s="137"/>
    </row>
    <row r="158" spans="1:7" ht="24" customHeight="1" x14ac:dyDescent="0.3">
      <c r="A158" s="86" t="s">
        <v>399</v>
      </c>
      <c r="B158" s="86" t="s">
        <v>400</v>
      </c>
      <c r="C158" s="86" t="s">
        <v>401</v>
      </c>
      <c r="D158" s="86" t="s">
        <v>206</v>
      </c>
      <c r="E158" s="86" t="s">
        <v>402</v>
      </c>
      <c r="F158" s="86" t="s">
        <v>403</v>
      </c>
      <c r="G158" s="86" t="s">
        <v>208</v>
      </c>
    </row>
    <row r="159" spans="1:7" ht="100.05" customHeight="1" x14ac:dyDescent="0.3">
      <c r="A159" s="87" t="s">
        <v>760</v>
      </c>
      <c r="B159" s="87" t="s">
        <v>761</v>
      </c>
      <c r="C159" s="87" t="s">
        <v>513</v>
      </c>
      <c r="D159" s="88" t="s">
        <v>762</v>
      </c>
      <c r="E159" s="88" t="s">
        <v>763</v>
      </c>
      <c r="F159" s="88" t="s">
        <v>764</v>
      </c>
      <c r="G159" s="88" t="s">
        <v>765</v>
      </c>
    </row>
    <row r="160" spans="1:7" ht="100.05" customHeight="1" x14ac:dyDescent="0.3">
      <c r="A160" s="87" t="s">
        <v>760</v>
      </c>
      <c r="B160" s="87" t="s">
        <v>766</v>
      </c>
      <c r="C160" s="87" t="s">
        <v>519</v>
      </c>
      <c r="D160" s="88" t="s">
        <v>762</v>
      </c>
      <c r="E160" s="88" t="s">
        <v>767</v>
      </c>
      <c r="F160" s="88" t="s">
        <v>768</v>
      </c>
      <c r="G160" s="88" t="s">
        <v>765</v>
      </c>
    </row>
    <row r="161" spans="1:7" ht="100.05" customHeight="1" x14ac:dyDescent="0.3">
      <c r="A161" s="87" t="s">
        <v>760</v>
      </c>
      <c r="B161" s="87" t="s">
        <v>769</v>
      </c>
      <c r="C161" s="87" t="s">
        <v>524</v>
      </c>
      <c r="D161" s="88" t="s">
        <v>762</v>
      </c>
      <c r="E161" s="88" t="s">
        <v>770</v>
      </c>
      <c r="F161" s="88" t="s">
        <v>771</v>
      </c>
      <c r="G161" s="88" t="s">
        <v>765</v>
      </c>
    </row>
    <row r="162" spans="1:7" ht="66" customHeight="1" x14ac:dyDescent="0.3">
      <c r="A162" s="198" t="s">
        <v>772</v>
      </c>
      <c r="B162" s="132"/>
      <c r="C162" s="132"/>
      <c r="D162" s="132"/>
      <c r="E162" s="132"/>
      <c r="F162" s="132"/>
      <c r="G162" s="133"/>
    </row>
  </sheetData>
  <mergeCells count="45">
    <mergeCell ref="A162:G162"/>
    <mergeCell ref="A69:G69"/>
    <mergeCell ref="A16:G16"/>
    <mergeCell ref="A25:G25"/>
    <mergeCell ref="A99:G99"/>
    <mergeCell ref="A46:G46"/>
    <mergeCell ref="A89:G89"/>
    <mergeCell ref="A74:G74"/>
    <mergeCell ref="A118:G118"/>
    <mergeCell ref="A18:G18"/>
    <mergeCell ref="A27:G27"/>
    <mergeCell ref="A120:G120"/>
    <mergeCell ref="A55:G55"/>
    <mergeCell ref="A76:G76"/>
    <mergeCell ref="A139:G139"/>
    <mergeCell ref="A104:G104"/>
    <mergeCell ref="A157:G157"/>
    <mergeCell ref="A60:G60"/>
    <mergeCell ref="A11:G11"/>
    <mergeCell ref="A1:G1"/>
    <mergeCell ref="A132:G132"/>
    <mergeCell ref="A2:G2"/>
    <mergeCell ref="A113:G113"/>
    <mergeCell ref="A33:G33"/>
    <mergeCell ref="A42:G42"/>
    <mergeCell ref="A155:G155"/>
    <mergeCell ref="A111:G111"/>
    <mergeCell ref="A40:G40"/>
    <mergeCell ref="A127:G127"/>
    <mergeCell ref="A67:G67"/>
    <mergeCell ref="A83:G83"/>
    <mergeCell ref="A148:G148"/>
    <mergeCell ref="A48:G48"/>
    <mergeCell ref="A35:G35"/>
    <mergeCell ref="A4:G4"/>
    <mergeCell ref="A62:G62"/>
    <mergeCell ref="A125:G125"/>
    <mergeCell ref="A53:G53"/>
    <mergeCell ref="A134:G134"/>
    <mergeCell ref="A81:G81"/>
    <mergeCell ref="A141:G141"/>
    <mergeCell ref="A97:G97"/>
    <mergeCell ref="A150:G150"/>
    <mergeCell ref="A106:G106"/>
    <mergeCell ref="A91:G9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5"/>
  <sheetViews>
    <sheetView zoomScaleNormal="100" workbookViewId="0">
      <pane xSplit="2" ySplit="3" topLeftCell="M12" activePane="bottomRight" state="frozen"/>
      <selection pane="topRight" activeCell="M1" sqref="M1"/>
      <selection pane="bottomLeft" activeCell="A6" sqref="A6"/>
      <selection pane="bottomRight" activeCell="P31" sqref="P31"/>
    </sheetView>
  </sheetViews>
  <sheetFormatPr defaultColWidth="30" defaultRowHeight="14.4" x14ac:dyDescent="0.3"/>
  <cols>
    <col min="1" max="2" width="21.109375" style="91" customWidth="1"/>
    <col min="3" max="3" width="20.6640625" style="92" customWidth="1"/>
    <col min="4" max="4" width="19.44140625" style="92" customWidth="1"/>
    <col min="5" max="5" width="20.109375" style="92" customWidth="1"/>
    <col min="6" max="6" width="20" style="92" customWidth="1"/>
    <col min="7" max="7" width="37.109375" style="92" customWidth="1"/>
    <col min="8" max="8" width="29.6640625" style="92" customWidth="1"/>
    <col min="9" max="9" width="18" style="92" customWidth="1"/>
    <col min="10" max="10" width="38" style="92" customWidth="1"/>
    <col min="11" max="11" width="40" style="92" customWidth="1"/>
    <col min="12" max="12" width="42" style="92" customWidth="1"/>
    <col min="13" max="13" width="32" style="92" customWidth="1"/>
    <col min="14" max="14" width="36" style="92" customWidth="1"/>
    <col min="15" max="15" width="44" style="92" customWidth="1"/>
    <col min="16" max="16" width="28" customWidth="1"/>
    <col min="17" max="17" width="30" style="92" customWidth="1"/>
    <col min="18" max="18" width="20" customWidth="1"/>
    <col min="19" max="19" width="30" style="92" customWidth="1"/>
    <col min="20" max="16384" width="30" style="92"/>
  </cols>
  <sheetData>
    <row r="1" spans="1:16" ht="21" customHeight="1" x14ac:dyDescent="0.3">
      <c r="A1" s="201" t="s">
        <v>773</v>
      </c>
      <c r="B1" s="202"/>
      <c r="C1" s="203"/>
      <c r="D1" s="203"/>
      <c r="E1" s="203"/>
      <c r="F1" s="203"/>
      <c r="G1" s="203"/>
      <c r="H1" s="203"/>
      <c r="I1" s="203"/>
      <c r="J1" s="203"/>
      <c r="K1" s="203"/>
      <c r="L1" s="203"/>
      <c r="M1" s="203"/>
      <c r="N1" s="203"/>
      <c r="O1" s="203"/>
      <c r="P1" s="137"/>
    </row>
    <row r="2" spans="1:16" ht="18" customHeight="1" x14ac:dyDescent="0.3">
      <c r="A2" s="204" t="s">
        <v>774</v>
      </c>
      <c r="B2" s="202"/>
      <c r="C2" s="203"/>
      <c r="D2" s="203"/>
      <c r="E2" s="203"/>
      <c r="F2" s="203"/>
      <c r="G2" s="203"/>
      <c r="H2" s="203"/>
      <c r="I2" s="203"/>
      <c r="J2" s="203"/>
      <c r="K2" s="203"/>
      <c r="L2" s="203"/>
      <c r="M2" s="203"/>
      <c r="N2" s="203"/>
      <c r="O2" s="203"/>
      <c r="P2" s="137"/>
    </row>
    <row r="3" spans="1:16" s="92" customFormat="1" ht="28.5" customHeight="1" x14ac:dyDescent="0.3">
      <c r="A3" s="93" t="s">
        <v>152</v>
      </c>
      <c r="B3" s="93" t="s">
        <v>775</v>
      </c>
      <c r="C3" s="93" t="s">
        <v>776</v>
      </c>
      <c r="D3" s="93" t="s">
        <v>777</v>
      </c>
      <c r="E3" s="93" t="s">
        <v>778</v>
      </c>
      <c r="F3" s="93" t="s">
        <v>779</v>
      </c>
      <c r="G3" s="93" t="s">
        <v>780</v>
      </c>
      <c r="H3" s="93" t="s">
        <v>781</v>
      </c>
      <c r="I3" s="93" t="s">
        <v>782</v>
      </c>
      <c r="J3" s="93" t="s">
        <v>783</v>
      </c>
      <c r="K3" s="93" t="s">
        <v>784</v>
      </c>
      <c r="L3" s="93" t="s">
        <v>785</v>
      </c>
      <c r="M3" s="93" t="s">
        <v>786</v>
      </c>
      <c r="N3" s="93" t="s">
        <v>787</v>
      </c>
      <c r="O3" s="94" t="s">
        <v>788</v>
      </c>
      <c r="P3" s="95" t="s">
        <v>789</v>
      </c>
    </row>
    <row r="4" spans="1:16" s="92" customFormat="1" ht="43.5" customHeight="1" x14ac:dyDescent="0.3">
      <c r="A4" s="96" t="s">
        <v>790</v>
      </c>
      <c r="B4" s="97" t="s">
        <v>791</v>
      </c>
      <c r="C4" s="98" t="s">
        <v>792</v>
      </c>
      <c r="D4" s="98" t="s">
        <v>793</v>
      </c>
      <c r="E4" s="98" t="s">
        <v>794</v>
      </c>
      <c r="F4" s="98" t="s">
        <v>795</v>
      </c>
      <c r="G4" s="98" t="s">
        <v>796</v>
      </c>
      <c r="H4" s="98" t="s">
        <v>797</v>
      </c>
      <c r="I4" s="98" t="s">
        <v>798</v>
      </c>
      <c r="J4" s="99" t="s">
        <v>799</v>
      </c>
      <c r="K4" s="99" t="s">
        <v>800</v>
      </c>
      <c r="L4" s="99" t="s">
        <v>801</v>
      </c>
      <c r="M4" s="99" t="s">
        <v>802</v>
      </c>
      <c r="N4" s="99" t="s">
        <v>803</v>
      </c>
      <c r="O4" s="100" t="str">
        <f>IF(AND(fa_GWD="",fa_ECe=""), "🟠 DATA NEEDED — measure water table depth (B9) and ECe (B6)", IF(OR(AND(ISNUMBER(fa_GWD),fa_GWD&lt;2),AND(ISNUMBER(fa_ECe),fa_ECe&gt;=4)), "🟢 RECOMMENDED — water table &lt; 2.0m or ECe ≥ 4.0: leachate needs an outlet", "🔴 NOT RECOMMENDED — deep water table and ECe &lt; 4: no drainage constraint"))</f>
        <v>🟠 DATA NEEDED — measure water table depth (B9) and ECe (B6)</v>
      </c>
      <c r="P4" s="101" t="s">
        <v>804</v>
      </c>
    </row>
    <row r="5" spans="1:16" s="92" customFormat="1" ht="43.5" customHeight="1" x14ac:dyDescent="0.3">
      <c r="A5" s="96" t="s">
        <v>790</v>
      </c>
      <c r="B5" s="97" t="s">
        <v>805</v>
      </c>
      <c r="C5" s="98" t="s">
        <v>792</v>
      </c>
      <c r="D5" s="98" t="s">
        <v>806</v>
      </c>
      <c r="E5" s="98" t="s">
        <v>794</v>
      </c>
      <c r="F5" s="98" t="s">
        <v>795</v>
      </c>
      <c r="G5" s="98" t="s">
        <v>807</v>
      </c>
      <c r="H5" s="98" t="s">
        <v>808</v>
      </c>
      <c r="I5" s="98" t="s">
        <v>809</v>
      </c>
      <c r="J5" s="99" t="s">
        <v>810</v>
      </c>
      <c r="K5" s="99" t="s">
        <v>811</v>
      </c>
      <c r="L5" s="99" t="s">
        <v>812</v>
      </c>
      <c r="M5" s="99" t="s">
        <v>813</v>
      </c>
      <c r="N5" s="99" t="s">
        <v>814</v>
      </c>
      <c r="O5" s="100" t="str">
        <f>IF(fa_GWD="", "🟠 DATA NEEDED — measure water table depth (B9)", IF(fa_GWD&lt;2, "🟢 RECOMMENDED — water table &lt; 2.0m: gravity drainage as low-cost alternative", "🔴 NOT RECOMMENDED — water table ≥ 2.0m: nothing to drain"))</f>
        <v>🟠 DATA NEEDED — measure water table depth (B9)</v>
      </c>
      <c r="P5" s="101" t="s">
        <v>804</v>
      </c>
    </row>
    <row r="6" spans="1:16" s="92" customFormat="1" ht="43.5" customHeight="1" x14ac:dyDescent="0.3">
      <c r="A6" s="96" t="s">
        <v>790</v>
      </c>
      <c r="B6" s="97" t="s">
        <v>815</v>
      </c>
      <c r="C6" s="98" t="s">
        <v>792</v>
      </c>
      <c r="D6" s="98" t="s">
        <v>793</v>
      </c>
      <c r="E6" s="98" t="s">
        <v>816</v>
      </c>
      <c r="F6" s="98" t="s">
        <v>795</v>
      </c>
      <c r="G6" s="98" t="s">
        <v>817</v>
      </c>
      <c r="H6" s="98" t="s">
        <v>818</v>
      </c>
      <c r="I6" s="98" t="s">
        <v>809</v>
      </c>
      <c r="J6" s="99" t="s">
        <v>819</v>
      </c>
      <c r="K6" s="99" t="s">
        <v>820</v>
      </c>
      <c r="L6" s="99" t="s">
        <v>821</v>
      </c>
      <c r="M6" s="99" t="s">
        <v>822</v>
      </c>
      <c r="N6" s="99" t="s">
        <v>823</v>
      </c>
      <c r="O6" s="100" t="str">
        <f>IF(fa_GWD="", "🟠 DATA NEEDED — measure water table depth (B9)", IF(fa_GWD&lt;1.5, "🟢 RECOMMENDED — water table &lt; 1.5m: regional pumping; verify aquifer", "🔴 NOT RECOMMENDED — water table ≥ 1.5m: regional pumping not justified"))</f>
        <v>🟠 DATA NEEDED — measure water table depth (B9)</v>
      </c>
      <c r="P6" s="101" t="s">
        <v>804</v>
      </c>
    </row>
    <row r="7" spans="1:16" s="92" customFormat="1" ht="43.5" customHeight="1" x14ac:dyDescent="0.3">
      <c r="A7" s="96" t="s">
        <v>790</v>
      </c>
      <c r="B7" s="97" t="s">
        <v>824</v>
      </c>
      <c r="C7" s="98" t="s">
        <v>825</v>
      </c>
      <c r="D7" s="98" t="s">
        <v>793</v>
      </c>
      <c r="E7" s="98" t="s">
        <v>816</v>
      </c>
      <c r="F7" s="98" t="s">
        <v>795</v>
      </c>
      <c r="G7" s="98" t="s">
        <v>826</v>
      </c>
      <c r="H7" s="98" t="s">
        <v>827</v>
      </c>
      <c r="I7" s="98" t="s">
        <v>828</v>
      </c>
      <c r="J7" s="99" t="s">
        <v>829</v>
      </c>
      <c r="K7" s="99" t="s">
        <v>830</v>
      </c>
      <c r="L7" s="99" t="s">
        <v>831</v>
      </c>
      <c r="M7" s="99" t="s">
        <v>832</v>
      </c>
      <c r="N7" s="99" t="s">
        <v>833</v>
      </c>
      <c r="O7" s="100" t="str">
        <f>IF(fa_GWD="", "🟠 DATA NEEDED — measure water table depth (B9)", IF(fa_GWD&lt;2, "🟢 RECOMMENDED — water table &lt; 2.0m: rising table points to seepage", "🔵 NO-REGRET — preventive; no rising water table detected right now"))</f>
        <v>🟠 DATA NEEDED — measure water table depth (B9)</v>
      </c>
      <c r="P7" s="101" t="s">
        <v>804</v>
      </c>
    </row>
    <row r="8" spans="1:16" s="92" customFormat="1" ht="43.5" customHeight="1" x14ac:dyDescent="0.3">
      <c r="A8" s="96" t="s">
        <v>790</v>
      </c>
      <c r="B8" s="97" t="s">
        <v>834</v>
      </c>
      <c r="C8" s="98" t="s">
        <v>792</v>
      </c>
      <c r="D8" s="98" t="s">
        <v>835</v>
      </c>
      <c r="E8" s="98" t="s">
        <v>794</v>
      </c>
      <c r="F8" s="98" t="s">
        <v>836</v>
      </c>
      <c r="G8" s="98" t="s">
        <v>837</v>
      </c>
      <c r="H8" s="98" t="s">
        <v>838</v>
      </c>
      <c r="I8" s="98" t="s">
        <v>839</v>
      </c>
      <c r="J8" s="99" t="s">
        <v>840</v>
      </c>
      <c r="K8" s="99" t="s">
        <v>841</v>
      </c>
      <c r="L8" s="99" t="s">
        <v>842</v>
      </c>
      <c r="M8" s="99" t="s">
        <v>843</v>
      </c>
      <c r="N8" s="99" t="s">
        <v>844</v>
      </c>
      <c r="O8" s="100" t="str">
        <f>IF(AND(fa_SOD="",fa_pH=""), "🟠 DATA NEEDED — measure sodicity (B7) and pH (B5)", IF(fa_SOD="", IF(fa_pH&gt;=8.5, "🟠 DATA NEEDED — sodicity not measured and pH alone is not conclusive: confirm CROSS/SAR (B7) before ripping", "🔵 NO-REGRET — only worthwhile if a compaction pan is confirmed in the field"), IF(fa_SODIC=1, "🟢 RECOMMENDED — SAR ≥ 13: shatter the dispersed crust and pan", "🔵 NO-REGRET — only worthwhile if a compaction pan is confirmed in the field")))</f>
        <v>🟠 DATA NEEDED — measure sodicity (B7) and pH (B5)</v>
      </c>
      <c r="P8" s="101" t="s">
        <v>804</v>
      </c>
    </row>
    <row r="9" spans="1:16" s="92" customFormat="1" ht="43.5" customHeight="1" x14ac:dyDescent="0.3">
      <c r="A9" s="96" t="s">
        <v>790</v>
      </c>
      <c r="B9" s="97" t="s">
        <v>845</v>
      </c>
      <c r="C9" s="98" t="s">
        <v>846</v>
      </c>
      <c r="D9" s="98" t="s">
        <v>835</v>
      </c>
      <c r="E9" s="98" t="s">
        <v>794</v>
      </c>
      <c r="F9" s="98" t="s">
        <v>836</v>
      </c>
      <c r="G9" s="98" t="s">
        <v>847</v>
      </c>
      <c r="H9" s="98" t="s">
        <v>848</v>
      </c>
      <c r="I9" s="98" t="s">
        <v>839</v>
      </c>
      <c r="J9" s="99" t="s">
        <v>849</v>
      </c>
      <c r="K9" s="99" t="s">
        <v>850</v>
      </c>
      <c r="L9" s="99" t="s">
        <v>851</v>
      </c>
      <c r="M9" s="99" t="s">
        <v>852</v>
      </c>
      <c r="N9" s="99" t="s">
        <v>853</v>
      </c>
      <c r="O9" s="100" t="str">
        <f>IF(fa_TOPO="", "🟠 DATA NEEDED — survey micro-topography (B12)", IF(fa_TOPO&gt;=5, "🟢 RECOMMENDED — elevation spread ≥ 5 cm: level out salt scalds", "🔵 NO-REGRET — field is level; re-check every 3–5 years"))</f>
        <v>🟠 DATA NEEDED — survey micro-topography (B12)</v>
      </c>
      <c r="P9" s="101" t="s">
        <v>804</v>
      </c>
    </row>
    <row r="10" spans="1:16" s="92" customFormat="1" ht="43.5" customHeight="1" x14ac:dyDescent="0.3">
      <c r="A10" s="96" t="s">
        <v>790</v>
      </c>
      <c r="B10" s="97" t="s">
        <v>854</v>
      </c>
      <c r="C10" s="98" t="s">
        <v>855</v>
      </c>
      <c r="D10" s="98" t="s">
        <v>856</v>
      </c>
      <c r="E10" s="98" t="s">
        <v>794</v>
      </c>
      <c r="F10" s="98" t="s">
        <v>836</v>
      </c>
      <c r="G10" s="98" t="s">
        <v>857</v>
      </c>
      <c r="H10" s="98" t="s">
        <v>858</v>
      </c>
      <c r="I10" s="98" t="s">
        <v>798</v>
      </c>
      <c r="J10" s="99" t="s">
        <v>859</v>
      </c>
      <c r="K10" s="99" t="s">
        <v>860</v>
      </c>
      <c r="L10" s="99" t="s">
        <v>861</v>
      </c>
      <c r="M10" s="99" t="s">
        <v>862</v>
      </c>
      <c r="N10" s="99" t="s">
        <v>863</v>
      </c>
      <c r="O10" s="100" t="str">
        <f>IF(AND(fa_ECe="",fa_SODIC=""), "🟠 DATA NEEDED — measure soil ECe (B6) and Sodicity (B7/B5)", IF(fa_SODIC=1, IF(fa_SOD="", "🔴 UNSAFE NOW — probably sodic (pH &gt; 8.5, CROSS/SAR not measured): apply gypsum first, then leach (leaching trap)", "🔴 UNSAFE NOW — sodic soil: apply gypsum/acid first, then leach (leaching trap)"), IF(AND(ISNUMBER(fa_ECe),fa_ECe&gt;=4), IF(fa_SODIC="", "🟠 DATA NEEDED — ECe ≥ 4.0 but sodicity not measured: measure CROSS/SAR (B7) before leaching", "🟢 RECOMMENDED — ECe ≥ 4.0 and not sodic: flush salts below the root zone"), "🔴 NOT RECOMMENDED — ECe &lt; 4.0: no salt load to flush, wastes water")))</f>
        <v>🟠 DATA NEEDED — measure soil ECe (B6) and Sodicity (B7/B5)</v>
      </c>
      <c r="P10" s="101" t="s">
        <v>804</v>
      </c>
    </row>
    <row r="11" spans="1:16" s="92" customFormat="1" ht="43.5" customHeight="1" x14ac:dyDescent="0.3">
      <c r="A11" s="102" t="s">
        <v>864</v>
      </c>
      <c r="B11" s="103" t="s">
        <v>865</v>
      </c>
      <c r="C11" s="104" t="s">
        <v>855</v>
      </c>
      <c r="D11" s="104" t="s">
        <v>856</v>
      </c>
      <c r="E11" s="104" t="s">
        <v>794</v>
      </c>
      <c r="F11" s="104" t="s">
        <v>866</v>
      </c>
      <c r="G11" s="104" t="s">
        <v>867</v>
      </c>
      <c r="H11" s="104" t="s">
        <v>868</v>
      </c>
      <c r="I11" s="104" t="s">
        <v>839</v>
      </c>
      <c r="J11" s="105" t="s">
        <v>869</v>
      </c>
      <c r="K11" s="105" t="s">
        <v>870</v>
      </c>
      <c r="L11" s="105" t="s">
        <v>871</v>
      </c>
      <c r="M11" s="105" t="s">
        <v>872</v>
      </c>
      <c r="N11" s="105" t="s">
        <v>873</v>
      </c>
      <c r="O11" s="100" t="str">
        <f>IF(AND(fa_SOD="",fa_pH=""), "🟠 DATA NEEDED — measure sodicity (B7) and pH (B5)", IF(fa_SOD="", IF(fa_SODIC=1, "🟢 RECOMMENDED (PROVISIONAL) — pH &gt; 8.5 suggests sodicity, CROSS/SAR not measured: gypsum advised with uncertainty, confirm (B7)", "🟠 DATA NEEDED — pH ≤ 8.5 does not show whether the soil is sodic: measure CROSS/SAR (B7)"), IF(fa_SODIC=1, "🟢 RECOMMENDED — SAR ≥ 13: sodium has to be displaced before leaching", "🔴 NOT RECOMMENDED — soil is not sodic: gypsum only adds salt")))</f>
        <v>🟠 DATA NEEDED — measure sodicity (B7) and pH (B5)</v>
      </c>
      <c r="P11" s="101" t="s">
        <v>804</v>
      </c>
    </row>
    <row r="12" spans="1:16" s="92" customFormat="1" ht="43.5" customHeight="1" x14ac:dyDescent="0.3">
      <c r="A12" s="102" t="s">
        <v>864</v>
      </c>
      <c r="B12" s="103" t="s">
        <v>874</v>
      </c>
      <c r="C12" s="104" t="s">
        <v>855</v>
      </c>
      <c r="D12" s="104" t="s">
        <v>856</v>
      </c>
      <c r="E12" s="104" t="s">
        <v>794</v>
      </c>
      <c r="F12" s="104" t="s">
        <v>866</v>
      </c>
      <c r="G12" s="104" t="s">
        <v>875</v>
      </c>
      <c r="H12" s="104" t="s">
        <v>876</v>
      </c>
      <c r="I12" s="104" t="s">
        <v>877</v>
      </c>
      <c r="J12" s="105" t="s">
        <v>878</v>
      </c>
      <c r="K12" s="105" t="s">
        <v>879</v>
      </c>
      <c r="L12" s="105" t="s">
        <v>880</v>
      </c>
      <c r="M12" s="105" t="s">
        <v>881</v>
      </c>
      <c r="N12" s="105" t="s">
        <v>882</v>
      </c>
      <c r="O12" s="100" t="str">
        <f>IF(OR(fa_pH="", fa_LIME=""), "🟠 DATA NEEDED — measure soil pH (B5) and native lime (B17)", IF(AND(fa_pH&gt;=8.5, fa_LIME&gt;0), IF(fa_SOD="", "🟠 DATA NEEDED — sodicity not measured and pH alone is not conclusive: confirm CROSS/SAR (B7); gypsum is the provisional option", IF(fa_SODIC=1, "🟢 RECOMMENDED — pH ≥ 8.5 and native lime &gt; 0%: acid frees native Ca²⁺", "🔴 NOT RECOMMENDED — measured SAR &lt; 13: soil is not sodic, no calcium release needed")), "🔴 NOT RECOMMENDED — pH &lt; 8.5 or no native lime: use gypsum instead"))</f>
        <v>🟠 DATA NEEDED — measure soil pH (B5) and native lime (B17)</v>
      </c>
      <c r="P12" s="101" t="s">
        <v>804</v>
      </c>
    </row>
    <row r="13" spans="1:16" s="92" customFormat="1" ht="43.5" customHeight="1" x14ac:dyDescent="0.3">
      <c r="A13" s="102" t="s">
        <v>864</v>
      </c>
      <c r="B13" s="103" t="s">
        <v>883</v>
      </c>
      <c r="C13" s="104" t="s">
        <v>792</v>
      </c>
      <c r="D13" s="104" t="s">
        <v>856</v>
      </c>
      <c r="E13" s="104" t="s">
        <v>794</v>
      </c>
      <c r="F13" s="104" t="s">
        <v>866</v>
      </c>
      <c r="G13" s="104" t="s">
        <v>884</v>
      </c>
      <c r="H13" s="104" t="s">
        <v>885</v>
      </c>
      <c r="I13" s="104" t="s">
        <v>839</v>
      </c>
      <c r="J13" s="105" t="s">
        <v>886</v>
      </c>
      <c r="K13" s="105" t="s">
        <v>887</v>
      </c>
      <c r="L13" s="105" t="s">
        <v>888</v>
      </c>
      <c r="M13" s="105" t="s">
        <v>889</v>
      </c>
      <c r="N13" s="105" t="s">
        <v>890</v>
      </c>
      <c r="O13" s="100" t="str">
        <f>IF(AND(fa_SOD="",fa_ECe=""), "🟠 DATA NEEDED — measure sodicity (B7) and ECe (B6)", IF(OR(AND(ISNUMBER(fa_SOD),fa_SODIC=1),AND(ISNUMBER(fa_ECe),fa_ECe&gt;=4)), "🟢 RECOMMENDED — SAR ≥ 13 or ECe ≥ 4.0: buffers osmotic stress and rebuilds structure", "🔵 NO-REGRET — raises CEC and water holding capacity in any soil"))</f>
        <v>🟠 DATA NEEDED — measure sodicity (B7) and ECe (B6)</v>
      </c>
      <c r="P13" s="101" t="s">
        <v>804</v>
      </c>
    </row>
    <row r="14" spans="1:16" s="92" customFormat="1" ht="43.5" customHeight="1" x14ac:dyDescent="0.3">
      <c r="A14" s="102" t="s">
        <v>864</v>
      </c>
      <c r="B14" s="103" t="s">
        <v>891</v>
      </c>
      <c r="C14" s="104" t="s">
        <v>892</v>
      </c>
      <c r="D14" s="104" t="s">
        <v>835</v>
      </c>
      <c r="E14" s="104" t="s">
        <v>794</v>
      </c>
      <c r="F14" s="104" t="s">
        <v>836</v>
      </c>
      <c r="G14" s="104" t="s">
        <v>893</v>
      </c>
      <c r="H14" s="104" t="s">
        <v>894</v>
      </c>
      <c r="I14" s="104" t="s">
        <v>798</v>
      </c>
      <c r="J14" s="105" t="s">
        <v>895</v>
      </c>
      <c r="K14" s="105" t="s">
        <v>896</v>
      </c>
      <c r="L14" s="105" t="s">
        <v>897</v>
      </c>
      <c r="M14" s="105" t="s">
        <v>898</v>
      </c>
      <c r="N14" s="105" t="s">
        <v>899</v>
      </c>
      <c r="O14" s="100" t="str">
        <f>IF(fa_RSC="", "🟠 DATA NEEDED — measure water RSC (B16)", IF(fa_RSC&gt;2.5, "🟢 RECOMMENDED — RSC &gt; 2.5 meq/L: neutralise bicarbonate", "🔴 NOT RECOMMENDED — RSC ≤ 2.5 meq/L: no bicarbonate hazard"))</f>
        <v>🟠 DATA NEEDED — measure water RSC (B16)</v>
      </c>
      <c r="P14" s="101" t="s">
        <v>804</v>
      </c>
    </row>
    <row r="15" spans="1:16" s="92" customFormat="1" ht="43.5" customHeight="1" x14ac:dyDescent="0.3">
      <c r="A15" s="106" t="s">
        <v>900</v>
      </c>
      <c r="B15" s="107" t="s">
        <v>901</v>
      </c>
      <c r="C15" s="108" t="s">
        <v>846</v>
      </c>
      <c r="D15" s="108" t="s">
        <v>806</v>
      </c>
      <c r="E15" s="108" t="s">
        <v>794</v>
      </c>
      <c r="F15" s="108" t="s">
        <v>836</v>
      </c>
      <c r="G15" s="108" t="s">
        <v>902</v>
      </c>
      <c r="H15" s="108" t="s">
        <v>903</v>
      </c>
      <c r="I15" s="108" t="s">
        <v>798</v>
      </c>
      <c r="J15" s="109" t="s">
        <v>904</v>
      </c>
      <c r="K15" s="109" t="s">
        <v>905</v>
      </c>
      <c r="L15" s="109" t="s">
        <v>906</v>
      </c>
      <c r="M15" s="109" t="s">
        <v>907</v>
      </c>
      <c r="N15" s="109" t="s">
        <v>908</v>
      </c>
      <c r="O15" s="100" t="str">
        <f>IF(AND(fa_ECe="",fa_ECw=""), "🟠 DATA NEEDED — measure soil ECe (B6) and irrigation ECw (B8)", IF(OR(AND(ISNUMBER(fa_ECe),fa_ECe&gt;=4),AND(ISNUMBER(fa_ECw),fa_ECw&gt;=0.7)), "🟢 RECOMMENDED — ECe ≥ 4.0 or ECw ≥ 0.7: salt load present, mulch keeps it off surface", "🔵 NO-REGRET — saves water in an arid climate even without a salt problem"))</f>
        <v>🟠 DATA NEEDED — measure soil ECe (B6) and irrigation ECw (B8)</v>
      </c>
      <c r="P15" s="101" t="s">
        <v>804</v>
      </c>
    </row>
    <row r="16" spans="1:16" s="92" customFormat="1" ht="43.5" customHeight="1" x14ac:dyDescent="0.3">
      <c r="A16" s="106" t="s">
        <v>900</v>
      </c>
      <c r="B16" s="107" t="s">
        <v>909</v>
      </c>
      <c r="C16" s="108" t="s">
        <v>910</v>
      </c>
      <c r="D16" s="108" t="s">
        <v>835</v>
      </c>
      <c r="E16" s="108" t="s">
        <v>794</v>
      </c>
      <c r="F16" s="108" t="s">
        <v>836</v>
      </c>
      <c r="G16" s="108" t="s">
        <v>911</v>
      </c>
      <c r="H16" s="108" t="s">
        <v>912</v>
      </c>
      <c r="I16" s="108" t="s">
        <v>839</v>
      </c>
      <c r="J16" s="109" t="s">
        <v>913</v>
      </c>
      <c r="K16" s="109" t="s">
        <v>914</v>
      </c>
      <c r="L16" s="109" t="s">
        <v>915</v>
      </c>
      <c r="M16" s="109" t="s">
        <v>916</v>
      </c>
      <c r="N16" s="109" t="s">
        <v>917</v>
      </c>
      <c r="O16" s="100" t="str">
        <f>IF(fa_ECe="", "🟠 DATA NEEDED — measure soil ECe (B6)", IF(AND(ISNUMBER(fa_ECt),fa_ECe&gt;fa_ECt), "🟢 RECOMMENDED — ECe exceeds crop threshold: switch cultivar", IF(fa_ECe&gt;=8, "🟢 RECOMMENDED — ECe ≥ 8.0: tolerant species only", IF(fa_ECe&gt;=4, "🟢 RECOMMENDED — ECe ≥ 4.0: moderately tolerant cultivars", "🔴 NOT RECOMMENDED — ECe &lt; 4.0: sensitive crops still yield normally"))))</f>
        <v>🟠 DATA NEEDED — measure soil ECe (B6)</v>
      </c>
      <c r="P16" s="101" t="s">
        <v>804</v>
      </c>
    </row>
    <row r="17" spans="1:16" s="92" customFormat="1" ht="43.5" customHeight="1" x14ac:dyDescent="0.3">
      <c r="A17" s="106" t="s">
        <v>900</v>
      </c>
      <c r="B17" s="107" t="s">
        <v>918</v>
      </c>
      <c r="C17" s="108" t="s">
        <v>846</v>
      </c>
      <c r="D17" s="108" t="s">
        <v>856</v>
      </c>
      <c r="E17" s="108" t="s">
        <v>919</v>
      </c>
      <c r="F17" s="108" t="s">
        <v>795</v>
      </c>
      <c r="G17" s="108" t="s">
        <v>920</v>
      </c>
      <c r="H17" s="108" t="s">
        <v>921</v>
      </c>
      <c r="I17" s="108" t="s">
        <v>839</v>
      </c>
      <c r="J17" s="109" t="s">
        <v>922</v>
      </c>
      <c r="K17" s="109" t="s">
        <v>923</v>
      </c>
      <c r="L17" s="109" t="s">
        <v>924</v>
      </c>
      <c r="M17" s="109" t="s">
        <v>925</v>
      </c>
      <c r="N17" s="109" t="s">
        <v>926</v>
      </c>
      <c r="O17" s="100" t="str">
        <f>IF(fa_GWD="", "🟠 DATA NEEDED — measure water table depth (B9)", IF(fa_GWD&lt;2, "🟢 RECOMMENDED — water table &lt; 2.0m: trees pump it down, zero effluent", "🔴 NOT RECOMMENDED — water table ≥ 2.0m: roots cannot reach it"))</f>
        <v>🟠 DATA NEEDED — measure water table depth (B9)</v>
      </c>
      <c r="P17" s="101" t="s">
        <v>804</v>
      </c>
    </row>
    <row r="18" spans="1:16" s="92" customFormat="1" ht="43.5" customHeight="1" x14ac:dyDescent="0.3">
      <c r="A18" s="106" t="s">
        <v>900</v>
      </c>
      <c r="B18" s="107" t="s">
        <v>927</v>
      </c>
      <c r="C18" s="108" t="s">
        <v>928</v>
      </c>
      <c r="D18" s="108" t="s">
        <v>835</v>
      </c>
      <c r="E18" s="108" t="s">
        <v>794</v>
      </c>
      <c r="F18" s="108" t="s">
        <v>836</v>
      </c>
      <c r="G18" s="108" t="s">
        <v>929</v>
      </c>
      <c r="H18" s="108" t="s">
        <v>930</v>
      </c>
      <c r="I18" s="108" t="s">
        <v>839</v>
      </c>
      <c r="J18" s="109" t="s">
        <v>931</v>
      </c>
      <c r="K18" s="109" t="s">
        <v>932</v>
      </c>
      <c r="L18" s="109" t="s">
        <v>933</v>
      </c>
      <c r="M18" s="109" t="s">
        <v>934</v>
      </c>
      <c r="N18" s="109" t="s">
        <v>935</v>
      </c>
      <c r="O18" s="100" t="str">
        <f>IF(AND(fa_ECe="",fa_SOD=""), "🟠 DATA NEEDED — measure soil ECe (B6) and Sodicity (B7)", IF(OR(AND(ISNUMBER(fa_ECe),fa_ECe&gt;=4),AND(ISNUMBER(fa_SOD),fa_SODIC=1)), "🟢 RECOMMENDED — ECe ≥ 4.0 or SAR ≥ 13: roots are under osmotic or ionic stress", "🔵 NO-REGRET — cheap add-on, but little effect without salt stress"))</f>
        <v>🟠 DATA NEEDED — measure soil ECe (B6) and Sodicity (B7)</v>
      </c>
      <c r="P18" s="101" t="s">
        <v>804</v>
      </c>
    </row>
    <row r="19" spans="1:16" s="92" customFormat="1" ht="43.5" customHeight="1" x14ac:dyDescent="0.3">
      <c r="A19" s="106" t="s">
        <v>900</v>
      </c>
      <c r="B19" s="107" t="s">
        <v>936</v>
      </c>
      <c r="C19" s="108" t="s">
        <v>846</v>
      </c>
      <c r="D19" s="108" t="s">
        <v>835</v>
      </c>
      <c r="E19" s="108" t="s">
        <v>794</v>
      </c>
      <c r="F19" s="108" t="s">
        <v>836</v>
      </c>
      <c r="G19" s="108" t="s">
        <v>937</v>
      </c>
      <c r="H19" s="108" t="s">
        <v>938</v>
      </c>
      <c r="I19" s="108" t="s">
        <v>839</v>
      </c>
      <c r="J19" s="109" t="s">
        <v>939</v>
      </c>
      <c r="K19" s="109" t="s">
        <v>940</v>
      </c>
      <c r="L19" s="109" t="s">
        <v>941</v>
      </c>
      <c r="M19" s="109" t="s">
        <v>942</v>
      </c>
      <c r="N19" s="109" t="s">
        <v>943</v>
      </c>
      <c r="O19" s="100" t="str">
        <f>IF(AND(fa_GWD="",fa_ECe=""), "🟠 DATA NEEDED — measure water table depth (B9) and ECe (B6)", IF(OR(AND(ISNUMBER(fa_GWD),fa_GWD&lt;2),AND(ISNUMBER(fa_ECe),fa_ECe&gt;=4)), "🟢 RECOMMENDED — water table &lt; 2.0m or ECe ≥ 4.0: cover blocks capillary salt rise", "🔵 NO-REGRET — always cuts bare-soil evaporation in an arid fallow"))</f>
        <v>🟠 DATA NEEDED — measure water table depth (B9) and ECe (B6)</v>
      </c>
      <c r="P19" s="101" t="s">
        <v>804</v>
      </c>
    </row>
    <row r="20" spans="1:16" s="92" customFormat="1" ht="43.5" customHeight="1" x14ac:dyDescent="0.3">
      <c r="A20" s="110" t="s">
        <v>944</v>
      </c>
      <c r="B20" s="111" t="s">
        <v>945</v>
      </c>
      <c r="C20" s="112" t="s">
        <v>846</v>
      </c>
      <c r="D20" s="112" t="s">
        <v>793</v>
      </c>
      <c r="E20" s="112" t="s">
        <v>794</v>
      </c>
      <c r="F20" s="112" t="s">
        <v>836</v>
      </c>
      <c r="G20" s="112" t="s">
        <v>946</v>
      </c>
      <c r="H20" s="112" t="s">
        <v>947</v>
      </c>
      <c r="I20" s="112" t="s">
        <v>877</v>
      </c>
      <c r="J20" s="113" t="s">
        <v>948</v>
      </c>
      <c r="K20" s="113" t="s">
        <v>949</v>
      </c>
      <c r="L20" s="113" t="s">
        <v>950</v>
      </c>
      <c r="M20" s="113" t="s">
        <v>951</v>
      </c>
      <c r="N20" s="113" t="s">
        <v>952</v>
      </c>
      <c r="O20" s="100" t="str">
        <f>IF(AND(fa_ECe="",fa_ECw=""), "🟠 DATA NEEDED — measure soil ECe (B6) and irrigation ECw (B8)", IF(OR(AND(ISNUMBER(fa_ECe),fa_ECe&gt;=4),AND(ISNUMBER(fa_ECw),fa_ECw&gt;=0.7)), "🟢 RECOMMENDED — ECe ≥ 4.0 or ECw ≥ 0.7: frequent wetting keeps the root zone diluted", "🔴 NOT RECOMMENDED — no salt load: standard scheduling is enough"))</f>
        <v>🟠 DATA NEEDED — measure soil ECe (B6) and irrigation ECw (B8)</v>
      </c>
      <c r="P20" s="101" t="s">
        <v>804</v>
      </c>
    </row>
    <row r="21" spans="1:16" s="92" customFormat="1" ht="43.5" customHeight="1" x14ac:dyDescent="0.3">
      <c r="A21" s="110" t="s">
        <v>944</v>
      </c>
      <c r="B21" s="111" t="s">
        <v>953</v>
      </c>
      <c r="C21" s="112" t="s">
        <v>928</v>
      </c>
      <c r="D21" s="112" t="s">
        <v>856</v>
      </c>
      <c r="E21" s="112" t="s">
        <v>794</v>
      </c>
      <c r="F21" s="112" t="s">
        <v>836</v>
      </c>
      <c r="G21" s="112" t="s">
        <v>954</v>
      </c>
      <c r="H21" s="112" t="s">
        <v>955</v>
      </c>
      <c r="I21" s="112" t="s">
        <v>798</v>
      </c>
      <c r="J21" s="113" t="s">
        <v>956</v>
      </c>
      <c r="K21" s="113" t="s">
        <v>957</v>
      </c>
      <c r="L21" s="113" t="s">
        <v>958</v>
      </c>
      <c r="M21" s="113" t="s">
        <v>959</v>
      </c>
      <c r="N21" s="113" t="s">
        <v>960</v>
      </c>
      <c r="O21" s="100" t="str">
        <f>IF(fa_ECw="", "🟠 DATA NEEDED — measure irrigation water ECw (B8)", IF(fa_ECw&gt;=1.5, "🟢 RECOMMENDED — ECw ≥ 1.5 dS/m: worth blending or cycling with a fresher source", "🔴 NOT RECOMMENDED — ECw &lt; 1.5 dS/m: fresh supply, nothing to blend"))</f>
        <v>🟠 DATA NEEDED — measure irrigation water ECw (B8)</v>
      </c>
      <c r="P21" s="101" t="s">
        <v>804</v>
      </c>
    </row>
    <row r="22" spans="1:16" s="92" customFormat="1" ht="43.5" customHeight="1" x14ac:dyDescent="0.3">
      <c r="A22" s="110" t="s">
        <v>944</v>
      </c>
      <c r="B22" s="111" t="s">
        <v>961</v>
      </c>
      <c r="C22" s="112" t="s">
        <v>846</v>
      </c>
      <c r="D22" s="112" t="s">
        <v>806</v>
      </c>
      <c r="E22" s="112" t="s">
        <v>794</v>
      </c>
      <c r="F22" s="112" t="s">
        <v>866</v>
      </c>
      <c r="G22" s="112" t="s">
        <v>962</v>
      </c>
      <c r="H22" s="112" t="s">
        <v>963</v>
      </c>
      <c r="I22" s="112" t="s">
        <v>828</v>
      </c>
      <c r="J22" s="113" t="s">
        <v>964</v>
      </c>
      <c r="K22" s="113" t="s">
        <v>965</v>
      </c>
      <c r="L22" s="113" t="s">
        <v>966</v>
      </c>
      <c r="M22" s="113" t="s">
        <v>967</v>
      </c>
      <c r="N22" s="113" t="s">
        <v>968</v>
      </c>
      <c r="O22" s="100" t="str">
        <f>IF(fa_ECw="", "🟠 DATA NEEDED — measure irrigation water ECw (B8)", IF(fa_ECw&gt;=0.7, "🟢 RECOMMENDED — ECw ≥ 0.7 dS/m: harvested rainwater dilutes a brackish supply", "🔵 NO-REGRET — builds a fresh water buffer for the dry season"))</f>
        <v>🟠 DATA NEEDED — measure irrigation water ECw (B8)</v>
      </c>
      <c r="P22" s="101" t="s">
        <v>804</v>
      </c>
    </row>
    <row r="23" spans="1:16" s="92" customFormat="1" ht="43.5" customHeight="1" x14ac:dyDescent="0.3">
      <c r="A23" s="110" t="s">
        <v>944</v>
      </c>
      <c r="B23" s="111" t="s">
        <v>969</v>
      </c>
      <c r="C23" s="112" t="s">
        <v>846</v>
      </c>
      <c r="D23" s="112" t="s">
        <v>856</v>
      </c>
      <c r="E23" s="112" t="s">
        <v>794</v>
      </c>
      <c r="F23" s="112" t="s">
        <v>866</v>
      </c>
      <c r="G23" s="112" t="s">
        <v>970</v>
      </c>
      <c r="H23" s="112" t="s">
        <v>971</v>
      </c>
      <c r="I23" s="112" t="s">
        <v>828</v>
      </c>
      <c r="J23" s="113" t="s">
        <v>972</v>
      </c>
      <c r="K23" s="113" t="s">
        <v>973</v>
      </c>
      <c r="L23" s="113" t="s">
        <v>974</v>
      </c>
      <c r="M23" s="113" t="s">
        <v>975</v>
      </c>
      <c r="N23" s="113" t="s">
        <v>976</v>
      </c>
      <c r="O23" s="100" t="str">
        <f>IF(fa_GWD="", "🟠 DATA NEEDED — measure water table depth (B9)", IF(fa_GWD&lt;2, "🟢 RECOMMENDED — water table &lt; 2.0m: regulate outflow, cut effluent volume", "🔵 NO-REGRET — only if subsurface drains are already installed"))</f>
        <v>🟠 DATA NEEDED — measure water table depth (B9)</v>
      </c>
      <c r="P23" s="101" t="s">
        <v>804</v>
      </c>
    </row>
    <row r="24" spans="1:16" s="92" customFormat="1" ht="43.5" customHeight="1" x14ac:dyDescent="0.3">
      <c r="A24" s="114" t="s">
        <v>977</v>
      </c>
      <c r="B24" s="115" t="s">
        <v>978</v>
      </c>
      <c r="C24" s="116" t="s">
        <v>846</v>
      </c>
      <c r="D24" s="116" t="s">
        <v>793</v>
      </c>
      <c r="E24" s="116" t="s">
        <v>816</v>
      </c>
      <c r="F24" s="116" t="s">
        <v>795</v>
      </c>
      <c r="G24" s="116" t="s">
        <v>979</v>
      </c>
      <c r="H24" s="116" t="s">
        <v>980</v>
      </c>
      <c r="I24" s="116" t="s">
        <v>809</v>
      </c>
      <c r="J24" s="117" t="s">
        <v>981</v>
      </c>
      <c r="K24" s="117" t="s">
        <v>982</v>
      </c>
      <c r="L24" s="117" t="s">
        <v>983</v>
      </c>
      <c r="M24" s="117" t="s">
        <v>984</v>
      </c>
      <c r="N24" s="117" t="s">
        <v>985</v>
      </c>
      <c r="O24" s="100" t="str">
        <f>IF(fa_ECw="", "🟠 DATA NEEDED — measure irrigation water ECw (B8)", IF(fa_ECw&gt;=0.7, "🟢 RECOMMENDED — ECw ≥ 0.7 dS/m: store winter surplus to dilute the summer supply", "🔵 NO-REGRET — regional seasonal storage; needs a confined aquifer"))</f>
        <v>🟠 DATA NEEDED — measure irrigation water ECw (B8)</v>
      </c>
      <c r="P24" s="101" t="s">
        <v>804</v>
      </c>
    </row>
    <row r="25" spans="1:16" ht="30" customHeight="1" x14ac:dyDescent="0.3">
      <c r="O25" s="118" t="s">
        <v>986</v>
      </c>
      <c r="P25" s="119"/>
    </row>
  </sheetData>
  <mergeCells count="2">
    <mergeCell ref="A1:P1"/>
    <mergeCell ref="A2:P2"/>
  </mergeCells>
  <conditionalFormatting sqref="O4:O24">
    <cfRule type="expression" dxfId="5" priority="2">
      <formula>ISNUMBER(SEARCH("🟢",O4))</formula>
    </cfRule>
    <cfRule type="expression" dxfId="4" priority="3">
      <formula>ISNUMBER(SEARCH("🟠",O4))</formula>
    </cfRule>
    <cfRule type="expression" dxfId="3" priority="4">
      <formula>ISNUMBER(SEARCH("🔵",O4))</formula>
    </cfRule>
    <cfRule type="expression" dxfId="2" priority="5">
      <formula>OR(ISNUMBER(SEARCH("🔴",O4)),ISNUMBER(SEARCH("DANGEROUS",O4)))</formula>
    </cfRule>
  </conditionalFormatting>
  <conditionalFormatting sqref="P4:P24">
    <cfRule type="expression" dxfId="1" priority="6">
      <formula>fa_RESET=1</formula>
    </cfRule>
    <cfRule type="expression" dxfId="0" priority="7">
      <formula>P4="Selected"</formula>
    </cfRule>
  </conditionalFormatting>
  <dataValidations count="1">
    <dataValidation type="list" sqref="P4:P24" xr:uid="{00000000-0002-0000-0400-000000000000}">
      <formula1>"Selected,Not Selected"</formula1>
      <formula2>0</formula2>
    </dataValidation>
  </dataValidation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G58"/>
  <sheetViews>
    <sheetView showGridLines="0" zoomScaleNormal="100" workbookViewId="0">
      <pane ySplit="2" topLeftCell="A19" activePane="bottomLeft" state="frozen"/>
      <selection pane="bottomLeft" activeCell="D38" sqref="D38"/>
    </sheetView>
  </sheetViews>
  <sheetFormatPr defaultColWidth="8.6640625" defaultRowHeight="14.4" x14ac:dyDescent="0.3"/>
  <cols>
    <col min="1" max="1" width="26" customWidth="1"/>
    <col min="2" max="2" width="24" customWidth="1"/>
    <col min="3" max="3" width="38" customWidth="1"/>
    <col min="4" max="4" width="28" customWidth="1"/>
    <col min="5" max="5" width="38" customWidth="1"/>
    <col min="6" max="6" width="34" customWidth="1"/>
    <col min="7" max="7" width="28" customWidth="1"/>
  </cols>
  <sheetData>
    <row r="1" spans="1:7" ht="34.5" customHeight="1" x14ac:dyDescent="0.3">
      <c r="A1" s="206" t="s">
        <v>987</v>
      </c>
      <c r="B1" s="137"/>
      <c r="C1" s="137"/>
      <c r="D1" s="137"/>
      <c r="E1" s="137"/>
      <c r="F1" s="137"/>
      <c r="G1" s="137"/>
    </row>
    <row r="2" spans="1:7" ht="27.75" customHeight="1" x14ac:dyDescent="0.3">
      <c r="A2" s="120" t="s">
        <v>988</v>
      </c>
      <c r="B2" s="120" t="s">
        <v>989</v>
      </c>
      <c r="C2" s="207" t="s">
        <v>990</v>
      </c>
      <c r="D2" s="133"/>
      <c r="E2" s="207" t="s">
        <v>991</v>
      </c>
      <c r="F2" s="132"/>
      <c r="G2" s="133"/>
    </row>
    <row r="3" spans="1:7" ht="38.25" customHeight="1" x14ac:dyDescent="0.3">
      <c r="A3" s="121" t="s">
        <v>776</v>
      </c>
      <c r="B3" s="122" t="s">
        <v>825</v>
      </c>
      <c r="C3" s="205" t="s">
        <v>992</v>
      </c>
      <c r="D3" s="133"/>
      <c r="E3" s="205" t="s">
        <v>993</v>
      </c>
      <c r="F3" s="132"/>
      <c r="G3" s="133"/>
    </row>
    <row r="4" spans="1:7" ht="25.5" customHeight="1" x14ac:dyDescent="0.3">
      <c r="A4" s="121" t="s">
        <v>776</v>
      </c>
      <c r="B4" s="122" t="s">
        <v>892</v>
      </c>
      <c r="C4" s="205" t="s">
        <v>994</v>
      </c>
      <c r="D4" s="133"/>
      <c r="E4" s="205" t="s">
        <v>995</v>
      </c>
      <c r="F4" s="132"/>
      <c r="G4" s="133"/>
    </row>
    <row r="5" spans="1:7" ht="25.5" customHeight="1" x14ac:dyDescent="0.3">
      <c r="A5" s="121" t="s">
        <v>776</v>
      </c>
      <c r="B5" s="122" t="s">
        <v>855</v>
      </c>
      <c r="C5" s="205" t="s">
        <v>996</v>
      </c>
      <c r="D5" s="133"/>
      <c r="E5" s="205" t="s">
        <v>997</v>
      </c>
      <c r="F5" s="132"/>
      <c r="G5" s="133"/>
    </row>
    <row r="6" spans="1:7" ht="25.5" customHeight="1" x14ac:dyDescent="0.3">
      <c r="A6" s="121" t="s">
        <v>776</v>
      </c>
      <c r="B6" s="122" t="s">
        <v>910</v>
      </c>
      <c r="C6" s="205" t="s">
        <v>998</v>
      </c>
      <c r="D6" s="133"/>
      <c r="E6" s="205" t="s">
        <v>999</v>
      </c>
      <c r="F6" s="132"/>
      <c r="G6" s="133"/>
    </row>
    <row r="7" spans="1:7" ht="38.25" customHeight="1" x14ac:dyDescent="0.3">
      <c r="A7" s="121" t="s">
        <v>777</v>
      </c>
      <c r="B7" s="122" t="s">
        <v>835</v>
      </c>
      <c r="C7" s="205" t="s">
        <v>1000</v>
      </c>
      <c r="D7" s="133"/>
      <c r="E7" s="205" t="s">
        <v>1001</v>
      </c>
      <c r="F7" s="132"/>
      <c r="G7" s="133"/>
    </row>
    <row r="8" spans="1:7" ht="25.5" customHeight="1" x14ac:dyDescent="0.3">
      <c r="A8" s="121" t="s">
        <v>777</v>
      </c>
      <c r="B8" s="122" t="s">
        <v>856</v>
      </c>
      <c r="C8" s="205" t="s">
        <v>1002</v>
      </c>
      <c r="D8" s="133"/>
      <c r="E8" s="205" t="s">
        <v>1003</v>
      </c>
      <c r="F8" s="132"/>
      <c r="G8" s="133"/>
    </row>
    <row r="9" spans="1:7" ht="25.5" customHeight="1" x14ac:dyDescent="0.3">
      <c r="A9" s="121" t="s">
        <v>777</v>
      </c>
      <c r="B9" s="122" t="s">
        <v>806</v>
      </c>
      <c r="C9" s="205" t="s">
        <v>1004</v>
      </c>
      <c r="D9" s="133"/>
      <c r="E9" s="205" t="s">
        <v>1005</v>
      </c>
      <c r="F9" s="132"/>
      <c r="G9" s="133"/>
    </row>
    <row r="10" spans="1:7" ht="38.25" customHeight="1" x14ac:dyDescent="0.3">
      <c r="A10" s="121" t="s">
        <v>777</v>
      </c>
      <c r="B10" s="122" t="s">
        <v>793</v>
      </c>
      <c r="C10" s="205" t="s">
        <v>1006</v>
      </c>
      <c r="D10" s="133"/>
      <c r="E10" s="205" t="s">
        <v>1007</v>
      </c>
      <c r="F10" s="132"/>
      <c r="G10" s="133"/>
    </row>
    <row r="11" spans="1:7" ht="25.5" customHeight="1" x14ac:dyDescent="0.3">
      <c r="A11" s="121" t="s">
        <v>778</v>
      </c>
      <c r="B11" s="122" t="s">
        <v>794</v>
      </c>
      <c r="C11" s="205" t="s">
        <v>1008</v>
      </c>
      <c r="D11" s="133"/>
      <c r="E11" s="205" t="s">
        <v>1009</v>
      </c>
      <c r="F11" s="132"/>
      <c r="G11" s="133"/>
    </row>
    <row r="12" spans="1:7" ht="38.25" customHeight="1" x14ac:dyDescent="0.3">
      <c r="A12" s="121" t="s">
        <v>778</v>
      </c>
      <c r="B12" s="122" t="s">
        <v>919</v>
      </c>
      <c r="C12" s="205" t="s">
        <v>1010</v>
      </c>
      <c r="D12" s="133"/>
      <c r="E12" s="205" t="s">
        <v>1011</v>
      </c>
      <c r="F12" s="132"/>
      <c r="G12" s="133"/>
    </row>
    <row r="13" spans="1:7" ht="38.25" customHeight="1" x14ac:dyDescent="0.3">
      <c r="A13" s="121" t="s">
        <v>778</v>
      </c>
      <c r="B13" s="122" t="s">
        <v>816</v>
      </c>
      <c r="C13" s="205" t="s">
        <v>1012</v>
      </c>
      <c r="D13" s="133"/>
      <c r="E13" s="205" t="s">
        <v>1013</v>
      </c>
      <c r="F13" s="132"/>
      <c r="G13" s="133"/>
    </row>
    <row r="14" spans="1:7" ht="25.5" customHeight="1" x14ac:dyDescent="0.3">
      <c r="A14" s="121" t="s">
        <v>779</v>
      </c>
      <c r="B14" s="122" t="s">
        <v>836</v>
      </c>
      <c r="C14" s="205" t="s">
        <v>1014</v>
      </c>
      <c r="D14" s="133"/>
      <c r="E14" s="205" t="s">
        <v>1015</v>
      </c>
      <c r="F14" s="132"/>
      <c r="G14" s="133"/>
    </row>
    <row r="15" spans="1:7" ht="25.5" customHeight="1" x14ac:dyDescent="0.3">
      <c r="A15" s="121" t="s">
        <v>779</v>
      </c>
      <c r="B15" s="122" t="s">
        <v>866</v>
      </c>
      <c r="C15" s="205" t="s">
        <v>1016</v>
      </c>
      <c r="D15" s="133"/>
      <c r="E15" s="205" t="s">
        <v>1017</v>
      </c>
      <c r="F15" s="132"/>
      <c r="G15" s="133"/>
    </row>
    <row r="16" spans="1:7" ht="38.25" customHeight="1" x14ac:dyDescent="0.3">
      <c r="A16" s="121" t="s">
        <v>779</v>
      </c>
      <c r="B16" s="122" t="s">
        <v>795</v>
      </c>
      <c r="C16" s="205" t="s">
        <v>1018</v>
      </c>
      <c r="D16" s="133"/>
      <c r="E16" s="205" t="s">
        <v>1019</v>
      </c>
      <c r="F16" s="132"/>
      <c r="G16" s="133"/>
    </row>
    <row r="17" spans="1:7" ht="25.5" customHeight="1" x14ac:dyDescent="0.3">
      <c r="A17" s="121" t="s">
        <v>781</v>
      </c>
      <c r="B17" s="122" t="s">
        <v>1020</v>
      </c>
      <c r="C17" s="205" t="s">
        <v>1021</v>
      </c>
      <c r="D17" s="133"/>
      <c r="E17" s="205" t="s">
        <v>1022</v>
      </c>
      <c r="F17" s="132"/>
      <c r="G17" s="133"/>
    </row>
    <row r="18" spans="1:7" ht="38.25" customHeight="1" x14ac:dyDescent="0.3">
      <c r="A18" s="121" t="s">
        <v>781</v>
      </c>
      <c r="B18" s="122" t="s">
        <v>1023</v>
      </c>
      <c r="C18" s="205" t="s">
        <v>1024</v>
      </c>
      <c r="D18" s="133"/>
      <c r="E18" s="205" t="s">
        <v>1025</v>
      </c>
      <c r="F18" s="132"/>
      <c r="G18" s="133"/>
    </row>
    <row r="19" spans="1:7" ht="38.25" customHeight="1" x14ac:dyDescent="0.3">
      <c r="A19" s="121" t="s">
        <v>781</v>
      </c>
      <c r="B19" s="122" t="s">
        <v>1026</v>
      </c>
      <c r="C19" s="205" t="s">
        <v>1027</v>
      </c>
      <c r="D19" s="133"/>
      <c r="E19" s="205" t="s">
        <v>1028</v>
      </c>
      <c r="F19" s="132"/>
      <c r="G19" s="133"/>
    </row>
    <row r="20" spans="1:7" ht="38.25" customHeight="1" x14ac:dyDescent="0.3">
      <c r="A20" s="121" t="s">
        <v>782</v>
      </c>
      <c r="B20" s="122" t="s">
        <v>1029</v>
      </c>
      <c r="C20" s="205" t="s">
        <v>1030</v>
      </c>
      <c r="D20" s="133"/>
      <c r="E20" s="205" t="s">
        <v>1031</v>
      </c>
      <c r="F20" s="132"/>
      <c r="G20" s="133"/>
    </row>
    <row r="21" spans="1:7" ht="38.25" customHeight="1" x14ac:dyDescent="0.3">
      <c r="A21" s="121" t="s">
        <v>782</v>
      </c>
      <c r="B21" s="122" t="s">
        <v>798</v>
      </c>
      <c r="C21" s="205" t="s">
        <v>1032</v>
      </c>
      <c r="D21" s="133"/>
      <c r="E21" s="205" t="s">
        <v>1033</v>
      </c>
      <c r="F21" s="132"/>
      <c r="G21" s="133"/>
    </row>
    <row r="22" spans="1:7" ht="38.25" customHeight="1" x14ac:dyDescent="0.3">
      <c r="A22" s="121" t="s">
        <v>782</v>
      </c>
      <c r="B22" s="122" t="s">
        <v>1034</v>
      </c>
      <c r="C22" s="205" t="s">
        <v>1035</v>
      </c>
      <c r="D22" s="133"/>
      <c r="E22" s="205" t="s">
        <v>1036</v>
      </c>
      <c r="F22" s="132"/>
      <c r="G22" s="133"/>
    </row>
    <row r="23" spans="1:7" ht="38.25" customHeight="1" x14ac:dyDescent="0.3">
      <c r="A23" s="121" t="s">
        <v>1037</v>
      </c>
      <c r="B23" s="122" t="s">
        <v>1038</v>
      </c>
      <c r="C23" s="205" t="s">
        <v>1039</v>
      </c>
      <c r="D23" s="133"/>
      <c r="E23" s="205" t="s">
        <v>1040</v>
      </c>
      <c r="F23" s="132"/>
      <c r="G23" s="133"/>
    </row>
    <row r="24" spans="1:7" ht="38.25" customHeight="1" x14ac:dyDescent="0.3">
      <c r="A24" s="121" t="s">
        <v>1037</v>
      </c>
      <c r="B24" s="122" t="s">
        <v>1041</v>
      </c>
      <c r="C24" s="205" t="s">
        <v>1042</v>
      </c>
      <c r="D24" s="133"/>
      <c r="E24" s="205" t="s">
        <v>1043</v>
      </c>
      <c r="F24" s="132"/>
      <c r="G24" s="133"/>
    </row>
    <row r="25" spans="1:7" ht="38.25" customHeight="1" x14ac:dyDescent="0.3">
      <c r="A25" s="121" t="s">
        <v>1037</v>
      </c>
      <c r="B25" s="122" t="s">
        <v>1044</v>
      </c>
      <c r="C25" s="205" t="s">
        <v>1045</v>
      </c>
      <c r="D25" s="133"/>
      <c r="E25" s="205" t="s">
        <v>1046</v>
      </c>
      <c r="F25" s="132"/>
      <c r="G25" s="133"/>
    </row>
    <row r="26" spans="1:7" ht="38.25" customHeight="1" x14ac:dyDescent="0.3">
      <c r="A26" s="121" t="s">
        <v>1037</v>
      </c>
      <c r="B26" s="122" t="s">
        <v>1047</v>
      </c>
      <c r="C26" s="205" t="s">
        <v>1048</v>
      </c>
      <c r="D26" s="133"/>
      <c r="E26" s="205" t="s">
        <v>1049</v>
      </c>
      <c r="F26" s="132"/>
      <c r="G26" s="133"/>
    </row>
    <row r="27" spans="1:7" ht="25.5" customHeight="1" x14ac:dyDescent="0.3">
      <c r="A27" s="121" t="s">
        <v>1050</v>
      </c>
      <c r="B27" s="122" t="s">
        <v>1051</v>
      </c>
      <c r="C27" s="205" t="s">
        <v>1052</v>
      </c>
      <c r="D27" s="133"/>
      <c r="E27" s="205" t="s">
        <v>1053</v>
      </c>
      <c r="F27" s="132"/>
      <c r="G27" s="133"/>
    </row>
    <row r="28" spans="1:7" ht="25.5" customHeight="1" x14ac:dyDescent="0.3">
      <c r="A28" s="121" t="s">
        <v>1050</v>
      </c>
      <c r="B28" s="122" t="s">
        <v>804</v>
      </c>
      <c r="C28" s="205" t="s">
        <v>1054</v>
      </c>
      <c r="D28" s="133"/>
      <c r="E28" s="205" t="s">
        <v>1055</v>
      </c>
      <c r="F28" s="132"/>
      <c r="G28" s="133"/>
    </row>
    <row r="29" spans="1:7" ht="51" customHeight="1" x14ac:dyDescent="0.3">
      <c r="A29" s="121" t="s">
        <v>1050</v>
      </c>
      <c r="B29" s="122" t="s">
        <v>1056</v>
      </c>
      <c r="C29" s="205" t="s">
        <v>1057</v>
      </c>
      <c r="D29" s="133"/>
      <c r="E29" s="205" t="s">
        <v>1058</v>
      </c>
      <c r="F29" s="132"/>
      <c r="G29" s="133"/>
    </row>
    <row r="30" spans="1:7" ht="38.25" customHeight="1" x14ac:dyDescent="0.3">
      <c r="A30" s="121" t="s">
        <v>1059</v>
      </c>
      <c r="B30" s="122" t="s">
        <v>790</v>
      </c>
      <c r="C30" s="205" t="s">
        <v>1060</v>
      </c>
      <c r="D30" s="133"/>
      <c r="E30" s="205" t="s">
        <v>1061</v>
      </c>
      <c r="F30" s="132"/>
      <c r="G30" s="133"/>
    </row>
    <row r="31" spans="1:7" ht="38.25" customHeight="1" x14ac:dyDescent="0.3">
      <c r="A31" s="121" t="s">
        <v>1059</v>
      </c>
      <c r="B31" s="122" t="s">
        <v>864</v>
      </c>
      <c r="C31" s="205" t="s">
        <v>1062</v>
      </c>
      <c r="D31" s="133"/>
      <c r="E31" s="205" t="s">
        <v>1063</v>
      </c>
      <c r="F31" s="132"/>
      <c r="G31" s="133"/>
    </row>
    <row r="32" spans="1:7" ht="38.25" customHeight="1" x14ac:dyDescent="0.3">
      <c r="A32" s="121" t="s">
        <v>1059</v>
      </c>
      <c r="B32" s="122" t="s">
        <v>900</v>
      </c>
      <c r="C32" s="205" t="s">
        <v>1064</v>
      </c>
      <c r="D32" s="133"/>
      <c r="E32" s="205" t="s">
        <v>1065</v>
      </c>
      <c r="F32" s="132"/>
      <c r="G32" s="133"/>
    </row>
    <row r="33" spans="1:7" ht="38.25" customHeight="1" x14ac:dyDescent="0.3">
      <c r="A33" s="121" t="s">
        <v>1059</v>
      </c>
      <c r="B33" s="122" t="s">
        <v>944</v>
      </c>
      <c r="C33" s="205" t="s">
        <v>1066</v>
      </c>
      <c r="D33" s="133"/>
      <c r="E33" s="205" t="s">
        <v>1067</v>
      </c>
      <c r="F33" s="132"/>
      <c r="G33" s="133"/>
    </row>
    <row r="34" spans="1:7" ht="38.25" customHeight="1" x14ac:dyDescent="0.3">
      <c r="A34" s="121" t="s">
        <v>1059</v>
      </c>
      <c r="B34" s="122" t="s">
        <v>977</v>
      </c>
      <c r="C34" s="205" t="s">
        <v>1068</v>
      </c>
      <c r="D34" s="133"/>
      <c r="E34" s="205" t="s">
        <v>1069</v>
      </c>
      <c r="F34" s="132"/>
      <c r="G34" s="133"/>
    </row>
    <row r="35" spans="1:7" ht="12" customHeight="1" x14ac:dyDescent="0.3"/>
    <row r="36" spans="1:7" ht="34.5" customHeight="1" x14ac:dyDescent="0.3">
      <c r="A36" s="206" t="s">
        <v>1070</v>
      </c>
      <c r="B36" s="137"/>
      <c r="C36" s="137"/>
      <c r="D36" s="137"/>
      <c r="E36" s="137"/>
      <c r="F36" s="137"/>
      <c r="G36" s="137"/>
    </row>
    <row r="37" spans="1:7" ht="27.75" customHeight="1" x14ac:dyDescent="0.3">
      <c r="A37" s="120" t="s">
        <v>1071</v>
      </c>
      <c r="B37" s="120" t="s">
        <v>1072</v>
      </c>
      <c r="C37" s="120" t="s">
        <v>1073</v>
      </c>
      <c r="D37" s="120" t="s">
        <v>1074</v>
      </c>
      <c r="E37" s="120" t="s">
        <v>1075</v>
      </c>
      <c r="F37" s="207" t="s">
        <v>1076</v>
      </c>
      <c r="G37" s="133"/>
    </row>
    <row r="38" spans="1:7" ht="51" customHeight="1" x14ac:dyDescent="0.3">
      <c r="A38" s="121" t="str">
        <f>'Section C - Measure Selection'!B4</f>
        <v>Subsurface Pipe Drainage (SPD)</v>
      </c>
      <c r="B38" s="124" t="s">
        <v>1077</v>
      </c>
      <c r="C38" s="123" t="s">
        <v>1078</v>
      </c>
      <c r="D38" s="123" t="s">
        <v>1079</v>
      </c>
      <c r="E38" s="123" t="s">
        <v>1080</v>
      </c>
      <c r="F38" s="205" t="s">
        <v>1081</v>
      </c>
      <c r="G38" s="133"/>
    </row>
    <row r="39" spans="1:7" ht="51" customHeight="1" x14ac:dyDescent="0.3">
      <c r="A39" s="121" t="str">
        <f>'Section C - Measure Selection'!B5</f>
        <v>Open Ditch Drainage</v>
      </c>
      <c r="B39" s="124" t="s">
        <v>1082</v>
      </c>
      <c r="C39" s="123" t="s">
        <v>1083</v>
      </c>
      <c r="D39" s="123" t="s">
        <v>1084</v>
      </c>
      <c r="E39" s="123" t="s">
        <v>1085</v>
      </c>
      <c r="F39" s="205" t="s">
        <v>1086</v>
      </c>
      <c r="G39" s="133"/>
    </row>
    <row r="40" spans="1:7" ht="38.25" customHeight="1" x14ac:dyDescent="0.3">
      <c r="A40" s="121" t="str">
        <f>'Section C - Measure Selection'!B6</f>
        <v>Vertical Drainage / Tubewells</v>
      </c>
      <c r="B40" s="124" t="s">
        <v>1082</v>
      </c>
      <c r="C40" s="123" t="s">
        <v>1087</v>
      </c>
      <c r="D40" s="123" t="s">
        <v>1084</v>
      </c>
      <c r="E40" s="123" t="s">
        <v>1088</v>
      </c>
      <c r="F40" s="205" t="s">
        <v>1089</v>
      </c>
      <c r="G40" s="133"/>
    </row>
    <row r="41" spans="1:7" ht="51" customHeight="1" x14ac:dyDescent="0.3">
      <c r="A41" s="121" t="str">
        <f>'Section C - Measure Selection'!B7</f>
        <v>Canal Lining</v>
      </c>
      <c r="B41" s="124" t="s">
        <v>1082</v>
      </c>
      <c r="C41" s="123" t="s">
        <v>1090</v>
      </c>
      <c r="D41" s="123" t="s">
        <v>1084</v>
      </c>
      <c r="E41" s="123" t="s">
        <v>1091</v>
      </c>
      <c r="F41" s="205" t="s">
        <v>1092</v>
      </c>
      <c r="G41" s="133"/>
    </row>
    <row r="42" spans="1:7" ht="51" customHeight="1" x14ac:dyDescent="0.3">
      <c r="A42" s="121" t="str">
        <f>'Section C - Measure Selection'!B8</f>
        <v>Deep Ripping / DVRT (Deep Vertical Rotary Tillage)</v>
      </c>
      <c r="B42" s="124" t="s">
        <v>1093</v>
      </c>
      <c r="C42" s="123" t="s">
        <v>1094</v>
      </c>
      <c r="D42" s="123" t="s">
        <v>1095</v>
      </c>
      <c r="E42" s="123" t="s">
        <v>1096</v>
      </c>
      <c r="F42" s="205" t="s">
        <v>1097</v>
      </c>
      <c r="G42" s="133"/>
    </row>
    <row r="43" spans="1:7" ht="51" customHeight="1" x14ac:dyDescent="0.3">
      <c r="A43" s="121" t="str">
        <f>'Section C - Measure Selection'!B9</f>
        <v>Precision Land Leveling (Laser Grading)</v>
      </c>
      <c r="B43" s="124" t="s">
        <v>1098</v>
      </c>
      <c r="C43" s="123" t="s">
        <v>1099</v>
      </c>
      <c r="D43" s="123" t="s">
        <v>1100</v>
      </c>
      <c r="E43" s="123" t="s">
        <v>1101</v>
      </c>
      <c r="F43" s="205" t="s">
        <v>1102</v>
      </c>
      <c r="G43" s="133"/>
    </row>
    <row r="44" spans="1:7" ht="64.5" customHeight="1" x14ac:dyDescent="0.3">
      <c r="A44" s="121" t="str">
        <f>'Section C - Measure Selection'!B10</f>
        <v>Forced Leaching Regime</v>
      </c>
      <c r="B44" s="124" t="s">
        <v>1103</v>
      </c>
      <c r="C44" s="123" t="s">
        <v>1104</v>
      </c>
      <c r="D44" s="123" t="s">
        <v>1105</v>
      </c>
      <c r="E44" s="123" t="s">
        <v>1106</v>
      </c>
      <c r="F44" s="205" t="s">
        <v>1107</v>
      </c>
      <c r="G44" s="133"/>
    </row>
    <row r="45" spans="1:7" ht="64.5" customHeight="1" x14ac:dyDescent="0.3">
      <c r="A45" s="121" t="str">
        <f>'Section C - Measure Selection'!B11</f>
        <v>Gypsum Application (CaSO4·2H2O)</v>
      </c>
      <c r="B45" s="124" t="s">
        <v>1093</v>
      </c>
      <c r="C45" s="123" t="s">
        <v>1108</v>
      </c>
      <c r="D45" s="123" t="s">
        <v>1109</v>
      </c>
      <c r="E45" s="123" t="s">
        <v>1110</v>
      </c>
      <c r="F45" s="205" t="s">
        <v>1111</v>
      </c>
      <c r="G45" s="133"/>
    </row>
    <row r="46" spans="1:7" ht="64.5" customHeight="1" x14ac:dyDescent="0.3">
      <c r="A46" s="121" t="str">
        <f>'Section C - Measure Selection'!B12</f>
        <v>Soil Acidification (Elemental Sulfur / Acid Injection)</v>
      </c>
      <c r="B46" s="124" t="s">
        <v>1112</v>
      </c>
      <c r="C46" s="123" t="s">
        <v>1113</v>
      </c>
      <c r="D46" s="123" t="s">
        <v>1114</v>
      </c>
      <c r="E46" s="123" t="s">
        <v>1115</v>
      </c>
      <c r="F46" s="205" t="s">
        <v>1116</v>
      </c>
      <c r="G46" s="133"/>
    </row>
    <row r="47" spans="1:7" ht="51" customHeight="1" x14ac:dyDescent="0.3">
      <c r="A47" s="121" t="str">
        <f>'Section C - Measure Selection'!B13</f>
        <v>Organic Amendments (Compost, Manure, Biochar)</v>
      </c>
      <c r="B47" s="124" t="s">
        <v>1117</v>
      </c>
      <c r="C47" s="123" t="s">
        <v>1118</v>
      </c>
      <c r="D47" s="123" t="s">
        <v>1119</v>
      </c>
      <c r="E47" s="123" t="s">
        <v>1120</v>
      </c>
      <c r="F47" s="205" t="s">
        <v>1121</v>
      </c>
      <c r="G47" s="133"/>
    </row>
    <row r="48" spans="1:7" ht="64.5" customHeight="1" x14ac:dyDescent="0.3">
      <c r="A48" s="121" t="str">
        <f>'Section C - Measure Selection'!B14</f>
        <v>Irrigation Water Acidification</v>
      </c>
      <c r="B48" s="124" t="s">
        <v>1122</v>
      </c>
      <c r="C48" s="123" t="s">
        <v>1123</v>
      </c>
      <c r="D48" s="123" t="s">
        <v>1124</v>
      </c>
      <c r="E48" s="123" t="s">
        <v>1125</v>
      </c>
      <c r="F48" s="205" t="s">
        <v>1126</v>
      </c>
      <c r="G48" s="133"/>
    </row>
    <row r="49" spans="1:7" ht="51" customHeight="1" x14ac:dyDescent="0.3">
      <c r="A49" s="121" t="str">
        <f>'Section C - Measure Selection'!B15</f>
        <v>Mulched Drip Irrigation (MDI)</v>
      </c>
      <c r="B49" s="124" t="s">
        <v>1127</v>
      </c>
      <c r="C49" s="123" t="s">
        <v>1128</v>
      </c>
      <c r="D49" s="123" t="s">
        <v>1129</v>
      </c>
      <c r="E49" s="123" t="s">
        <v>1130</v>
      </c>
      <c r="F49" s="205" t="s">
        <v>1131</v>
      </c>
      <c r="G49" s="133"/>
    </row>
    <row r="50" spans="1:7" ht="64.5" customHeight="1" x14ac:dyDescent="0.3">
      <c r="A50" s="121" t="str">
        <f>'Section C - Measure Selection'!B16</f>
        <v>Biosaline Agriculture &amp; Salt-Tolerant Crops</v>
      </c>
      <c r="B50" s="124" t="s">
        <v>1132</v>
      </c>
      <c r="C50" s="123" t="s">
        <v>1133</v>
      </c>
      <c r="D50" s="123" t="s">
        <v>1134</v>
      </c>
      <c r="E50" s="123" t="s">
        <v>1135</v>
      </c>
      <c r="F50" s="205" t="s">
        <v>1136</v>
      </c>
      <c r="G50" s="133"/>
    </row>
    <row r="51" spans="1:7" ht="51" customHeight="1" x14ac:dyDescent="0.3">
      <c r="A51" s="121" t="str">
        <f>'Section C - Measure Selection'!B17</f>
        <v>Biodrainage (Deep-Rooted Trees)</v>
      </c>
      <c r="B51" s="124" t="s">
        <v>1082</v>
      </c>
      <c r="C51" s="123" t="s">
        <v>1137</v>
      </c>
      <c r="D51" s="123" t="s">
        <v>1084</v>
      </c>
      <c r="E51" s="123" t="s">
        <v>1138</v>
      </c>
      <c r="F51" s="205" t="s">
        <v>1139</v>
      </c>
      <c r="G51" s="133"/>
    </row>
    <row r="52" spans="1:7" ht="51" customHeight="1" x14ac:dyDescent="0.3">
      <c r="A52" s="121" t="str">
        <f>'Section C - Measure Selection'!B18</f>
        <v>Microbial Bio-Inoculation (PGPR &amp; Mycorrhizae)</v>
      </c>
      <c r="B52" s="124" t="s">
        <v>1140</v>
      </c>
      <c r="C52" s="123" t="s">
        <v>1141</v>
      </c>
      <c r="D52" s="123" t="s">
        <v>1142</v>
      </c>
      <c r="E52" s="123" t="s">
        <v>1143</v>
      </c>
      <c r="F52" s="205" t="s">
        <v>1144</v>
      </c>
      <c r="G52" s="133"/>
    </row>
    <row r="53" spans="1:7" ht="51" customHeight="1" x14ac:dyDescent="0.3">
      <c r="A53" s="121" t="str">
        <f>'Section C - Measure Selection'!B19</f>
        <v>Summer Fallow Cover &amp; Stubble Retention</v>
      </c>
      <c r="B53" s="124" t="s">
        <v>1145</v>
      </c>
      <c r="C53" s="123" t="s">
        <v>1146</v>
      </c>
      <c r="D53" s="123" t="s">
        <v>1147</v>
      </c>
      <c r="E53" s="123" t="s">
        <v>1148</v>
      </c>
      <c r="F53" s="205" t="s">
        <v>1149</v>
      </c>
      <c r="G53" s="133"/>
    </row>
    <row r="54" spans="1:7" ht="38.25" customHeight="1" x14ac:dyDescent="0.3">
      <c r="A54" s="121" t="str">
        <f>'Section C - Measure Selection'!B20</f>
        <v>High-Frequency Drip Irrigation</v>
      </c>
      <c r="B54" s="124" t="s">
        <v>1127</v>
      </c>
      <c r="C54" s="123" t="s">
        <v>1150</v>
      </c>
      <c r="D54" s="123" t="s">
        <v>1129</v>
      </c>
      <c r="E54" s="123" t="s">
        <v>1151</v>
      </c>
      <c r="F54" s="205" t="s">
        <v>1152</v>
      </c>
      <c r="G54" s="133"/>
    </row>
    <row r="55" spans="1:7" ht="38.25" customHeight="1" x14ac:dyDescent="0.3">
      <c r="A55" s="121" t="str">
        <f>'Section C - Measure Selection'!B21</f>
        <v>Conjunctive Water Use (Blending / Cyclic Use)</v>
      </c>
      <c r="B55" s="124" t="s">
        <v>1153</v>
      </c>
      <c r="C55" s="123" t="s">
        <v>1154</v>
      </c>
      <c r="D55" s="123" t="s">
        <v>1155</v>
      </c>
      <c r="E55" s="123" t="s">
        <v>1156</v>
      </c>
      <c r="F55" s="205" t="s">
        <v>1157</v>
      </c>
      <c r="G55" s="133"/>
    </row>
    <row r="56" spans="1:7" ht="51" customHeight="1" x14ac:dyDescent="0.3">
      <c r="A56" s="121" t="str">
        <f>'Section C - Measure Selection'!B22</f>
        <v>Rainwater Harvesting &amp; Managed Infiltration</v>
      </c>
      <c r="B56" s="124" t="s">
        <v>1153</v>
      </c>
      <c r="C56" s="123" t="s">
        <v>1158</v>
      </c>
      <c r="D56" s="123" t="s">
        <v>1155</v>
      </c>
      <c r="E56" s="123" t="s">
        <v>1159</v>
      </c>
      <c r="F56" s="205" t="s">
        <v>1160</v>
      </c>
      <c r="G56" s="133"/>
    </row>
    <row r="57" spans="1:7" ht="51" customHeight="1" x14ac:dyDescent="0.3">
      <c r="A57" s="121" t="str">
        <f>'Section C - Measure Selection'!B23</f>
        <v>Controlled Drainage &amp; Water Table Management</v>
      </c>
      <c r="B57" s="124" t="s">
        <v>1082</v>
      </c>
      <c r="C57" s="123" t="s">
        <v>1161</v>
      </c>
      <c r="D57" s="123" t="s">
        <v>1084</v>
      </c>
      <c r="E57" s="123" t="s">
        <v>1162</v>
      </c>
      <c r="F57" s="205" t="s">
        <v>1163</v>
      </c>
      <c r="G57" s="133"/>
    </row>
    <row r="58" spans="1:7" ht="51" customHeight="1" x14ac:dyDescent="0.3">
      <c r="A58" s="121" t="str">
        <f>'Section C - Measure Selection'!B24</f>
        <v>Aquifer Storage and Recovery (ASR)</v>
      </c>
      <c r="B58" s="124" t="s">
        <v>1153</v>
      </c>
      <c r="C58" s="123" t="s">
        <v>1164</v>
      </c>
      <c r="D58" s="123" t="s">
        <v>1155</v>
      </c>
      <c r="E58" s="123" t="s">
        <v>1165</v>
      </c>
      <c r="F58" s="205" t="s">
        <v>1166</v>
      </c>
      <c r="G58" s="133"/>
    </row>
  </sheetData>
  <mergeCells count="90">
    <mergeCell ref="F58:G58"/>
    <mergeCell ref="F52:G52"/>
    <mergeCell ref="F37:G37"/>
    <mergeCell ref="E5:G5"/>
    <mergeCell ref="C13:D13"/>
    <mergeCell ref="E29:G29"/>
    <mergeCell ref="F53:G53"/>
    <mergeCell ref="F51:G51"/>
    <mergeCell ref="C9:D9"/>
    <mergeCell ref="F41:G41"/>
    <mergeCell ref="E25:G25"/>
    <mergeCell ref="F50:G50"/>
    <mergeCell ref="C7:D7"/>
    <mergeCell ref="E14:G14"/>
    <mergeCell ref="E23:G23"/>
    <mergeCell ref="F57:G57"/>
    <mergeCell ref="C2:D2"/>
    <mergeCell ref="F38:G38"/>
    <mergeCell ref="C11:D11"/>
    <mergeCell ref="E3:G3"/>
    <mergeCell ref="E2:G2"/>
    <mergeCell ref="C29:D29"/>
    <mergeCell ref="E11:G11"/>
    <mergeCell ref="C22:D22"/>
    <mergeCell ref="C31:D31"/>
    <mergeCell ref="C12:D12"/>
    <mergeCell ref="C21:D21"/>
    <mergeCell ref="E22:G22"/>
    <mergeCell ref="E12:G12"/>
    <mergeCell ref="E21:G21"/>
    <mergeCell ref="C23:D23"/>
    <mergeCell ref="C32:D32"/>
    <mergeCell ref="A1:G1"/>
    <mergeCell ref="F47:G47"/>
    <mergeCell ref="F46:G46"/>
    <mergeCell ref="C8:D8"/>
    <mergeCell ref="E24:G24"/>
    <mergeCell ref="F39:G39"/>
    <mergeCell ref="E33:G33"/>
    <mergeCell ref="E8:G8"/>
    <mergeCell ref="E17:G17"/>
    <mergeCell ref="F44:G44"/>
    <mergeCell ref="C18:D18"/>
    <mergeCell ref="C34:D34"/>
    <mergeCell ref="E10:G10"/>
    <mergeCell ref="E19:G19"/>
    <mergeCell ref="E34:G34"/>
    <mergeCell ref="E9:G9"/>
    <mergeCell ref="F54:G54"/>
    <mergeCell ref="E30:G30"/>
    <mergeCell ref="F45:G45"/>
    <mergeCell ref="F42:G42"/>
    <mergeCell ref="E32:G32"/>
    <mergeCell ref="A36:G36"/>
    <mergeCell ref="F48:G48"/>
    <mergeCell ref="F49:G49"/>
    <mergeCell ref="C33:D33"/>
    <mergeCell ref="F40:G40"/>
    <mergeCell ref="F56:G56"/>
    <mergeCell ref="F43:G43"/>
    <mergeCell ref="C19:D19"/>
    <mergeCell ref="C28:D28"/>
    <mergeCell ref="C3:D3"/>
    <mergeCell ref="C5:D5"/>
    <mergeCell ref="C14:D14"/>
    <mergeCell ref="E6:G6"/>
    <mergeCell ref="C4:D4"/>
    <mergeCell ref="E4:G4"/>
    <mergeCell ref="C26:D26"/>
    <mergeCell ref="F55:G55"/>
    <mergeCell ref="C10:D10"/>
    <mergeCell ref="C16:D16"/>
    <mergeCell ref="E27:G27"/>
    <mergeCell ref="C25:D25"/>
    <mergeCell ref="C6:D6"/>
    <mergeCell ref="E13:G13"/>
    <mergeCell ref="C15:D15"/>
    <mergeCell ref="E31:G31"/>
    <mergeCell ref="E15:G15"/>
    <mergeCell ref="E26:G26"/>
    <mergeCell ref="E7:G7"/>
    <mergeCell ref="E16:G16"/>
    <mergeCell ref="C27:D27"/>
    <mergeCell ref="E18:G18"/>
    <mergeCell ref="C17:D17"/>
    <mergeCell ref="E20:G20"/>
    <mergeCell ref="E28:G28"/>
    <mergeCell ref="C30:D30"/>
    <mergeCell ref="C20:D20"/>
    <mergeCell ref="C24:D2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52</vt:i4>
      </vt:variant>
    </vt:vector>
  </HeadingPairs>
  <TitlesOfParts>
    <vt:vector size="58" baseType="lpstr">
      <vt:lpstr>Explanation</vt:lpstr>
      <vt:lpstr>Dashboard</vt:lpstr>
      <vt:lpstr>Section A - Field Checklist</vt:lpstr>
      <vt:lpstr>Section B - Classification 1</vt:lpstr>
      <vt:lpstr>Section C - Measure Selection</vt:lpstr>
      <vt:lpstr>Section D - Classification 2</vt:lpstr>
      <vt:lpstr>fa_ANYFB</vt:lpstr>
      <vt:lpstr>fa_BD</vt:lpstr>
      <vt:lpstr>fa_BUDGET</vt:lpstr>
      <vt:lpstr>fa_CEC</vt:lpstr>
      <vt:lpstr>fa_DEM</vt:lpstr>
      <vt:lpstr>fa_ECe</vt:lpstr>
      <vt:lpstr>fa_ECe_src</vt:lpstr>
      <vt:lpstr>fa_ECgw</vt:lpstr>
      <vt:lpstr>fa_ECt</vt:lpstr>
      <vt:lpstr>fa_ECw</vt:lpstr>
      <vt:lpstr>fa_ECw_src</vt:lpstr>
      <vt:lpstr>fa_ESP</vt:lpstr>
      <vt:lpstr>fa_FTEXT</vt:lpstr>
      <vt:lpstr>fa_GWD</vt:lpstr>
      <vt:lpstr>fa_INFIL</vt:lpstr>
      <vt:lpstr>fa_K</vt:lpstr>
      <vt:lpstr>fa_LIME</vt:lpstr>
      <vt:lpstr>fa_LIMEHIGH</vt:lpstr>
      <vt:lpstr>fa_MASTER</vt:lpstr>
      <vt:lpstr>fa_NSEL</vt:lpstr>
      <vt:lpstr>fa_PANS</vt:lpstr>
      <vt:lpstr>fa_pH</vt:lpstr>
      <vt:lpstr>fa_RESET</vt:lpstr>
      <vt:lpstr>fa_RSC</vt:lpstr>
      <vt:lpstr>fa_SHALLOW</vt:lpstr>
      <vt:lpstr>fa_SOD</vt:lpstr>
      <vt:lpstr>fa_SOD_src</vt:lpstr>
      <vt:lpstr>fa_SODIC</vt:lpstr>
      <vt:lpstr>fa_SOM</vt:lpstr>
      <vt:lpstr>fa_TEXTURE</vt:lpstr>
      <vt:lpstr>fa_TOPO</vt:lpstr>
      <vt:lpstr>Dashboard!Print_Area</vt:lpstr>
      <vt:lpstr>th_BD</vt:lpstr>
      <vt:lpstr>th_ECeSLIGHT</vt:lpstr>
      <vt:lpstr>th_ECgw</vt:lpstr>
      <vt:lpstr>th_ECwHIGH</vt:lpstr>
      <vt:lpstr>th_ECwLOW</vt:lpstr>
      <vt:lpstr>th_FDEFAULT</vt:lpstr>
      <vt:lpstr>th_GW</vt:lpstr>
      <vt:lpstr>th_GWCRIT</vt:lpstr>
      <vt:lpstr>th_K</vt:lpstr>
      <vt:lpstr>th_LIME</vt:lpstr>
      <vt:lpstr>th_pHCALC</vt:lpstr>
      <vt:lpstr>th_pHSOD</vt:lpstr>
      <vt:lpstr>th_RSC</vt:lpstr>
      <vt:lpstr>th_SAL</vt:lpstr>
      <vt:lpstr>th_SOD</vt:lpstr>
      <vt:lpstr>th_SODHI</vt:lpstr>
      <vt:lpstr>th_SOM</vt:lpstr>
      <vt:lpstr>th_TDS</vt:lpstr>
      <vt:lpstr>th_TOC</vt:lpstr>
      <vt:lpstr>th_TOPO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Bart Wessels</cp:lastModifiedBy>
  <cp:revision>0</cp:revision>
  <dcterms:created xsi:type="dcterms:W3CDTF">2026-09-18T12:00:20Z</dcterms:created>
  <dcterms:modified xsi:type="dcterms:W3CDTF">2026-10-03T16:32:27Z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726d3b-6796-48f5-a53d-57abbe9f0891_ActionId">
    <vt:lpwstr>a68ff677-821e-4cbf-86b7-c76752b36060</vt:lpwstr>
  </property>
  <property fmtid="{D5CDD505-2E9C-101B-9397-08002B2CF9AE}" pid="3" name="MSIP_Label_d2726d3b-6796-48f5-a53d-57abbe9f0891_ContentBits">
    <vt:lpwstr>0</vt:lpwstr>
  </property>
  <property fmtid="{D5CDD505-2E9C-101B-9397-08002B2CF9AE}" pid="4" name="MSIP_Label_d2726d3b-6796-48f5-a53d-57abbe9f0891_Enabled">
    <vt:lpwstr>true</vt:lpwstr>
  </property>
  <property fmtid="{D5CDD505-2E9C-101B-9397-08002B2CF9AE}" pid="5" name="MSIP_Label_d2726d3b-6796-48f5-a53d-57abbe9f0891_Method">
    <vt:lpwstr>Standard</vt:lpwstr>
  </property>
  <property fmtid="{D5CDD505-2E9C-101B-9397-08002B2CF9AE}" pid="6" name="MSIP_Label_d2726d3b-6796-48f5-a53d-57abbe9f0891_Name">
    <vt:lpwstr>Unclassified</vt:lpwstr>
  </property>
  <property fmtid="{D5CDD505-2E9C-101B-9397-08002B2CF9AE}" pid="7" name="MSIP_Label_d2726d3b-6796-48f5-a53d-57abbe9f0891_SetDate">
    <vt:lpwstr>2026-09-18T12:23:16Z</vt:lpwstr>
  </property>
  <property fmtid="{D5CDD505-2E9C-101B-9397-08002B2CF9AE}" pid="8" name="MSIP_Label_d2726d3b-6796-48f5-a53d-57abbe9f0891_SiteId">
    <vt:lpwstr>4fc2f3aa-31c4-4dcb-b719-c6c16393e9d3</vt:lpwstr>
  </property>
  <property fmtid="{D5CDD505-2E9C-101B-9397-08002B2CF9AE}" pid="9" name="MSIP_Label_d2726d3b-6796-48f5-a53d-57abbe9f0891_Tag">
    <vt:lpwstr>10, 3, 0, 1</vt:lpwstr>
  </property>
</Properties>
</file>