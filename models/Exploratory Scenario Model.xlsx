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pcugroup-my.sharepoint.com/personal/bwessels_pcugroup_com/Documents/Bureaublad/"/>
    </mc:Choice>
  </mc:AlternateContent>
  <xr:revisionPtr revIDLastSave="0" documentId="8_{3650DACD-B2F2-4446-875C-F9A370455669}" xr6:coauthVersionLast="47" xr6:coauthVersionMax="47" xr10:uidLastSave="{00000000-0000-0000-0000-000000000000}"/>
  <bookViews>
    <workbookView xWindow="-30" yWindow="-16320" windowWidth="29040" windowHeight="15720" xr2:uid="{00000000-000D-0000-FFFF-FFFF00000000}"/>
  </bookViews>
  <sheets>
    <sheet name="Executive Dashboard" sheetId="1" r:id="rId1"/>
    <sheet name="Soil &amp; Climate Inputs" sheetId="4" r:id="rId2"/>
    <sheet name="W&amp;S Balance Model" sheetId="6" r:id="rId3"/>
    <sheet name="Crop Database" sheetId="5" r:id="rId4"/>
    <sheet name="Strategy &amp; Crop Advisor" sheetId="2" r:id="rId5"/>
    <sheet name="Overview &amp; Instructions"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4" l="1"/>
  <c r="F6" i="6"/>
  <c r="C30" i="6" l="1"/>
  <c r="C28" i="6"/>
  <c r="P25" i="6"/>
  <c r="O25" i="6"/>
  <c r="N25" i="6"/>
  <c r="M25" i="6"/>
  <c r="L25" i="6"/>
  <c r="K25" i="6"/>
  <c r="J25" i="6"/>
  <c r="I25" i="6"/>
  <c r="H25" i="6"/>
  <c r="G25" i="6"/>
  <c r="F25" i="6"/>
  <c r="E25" i="6"/>
  <c r="P22" i="6"/>
  <c r="O22" i="6"/>
  <c r="N22" i="6"/>
  <c r="M22" i="6"/>
  <c r="L22" i="6"/>
  <c r="K22" i="6"/>
  <c r="J22" i="6"/>
  <c r="I22" i="6"/>
  <c r="H22" i="6"/>
  <c r="G22" i="6"/>
  <c r="F22" i="6"/>
  <c r="E22" i="6"/>
  <c r="B18" i="6"/>
  <c r="F9" i="6"/>
  <c r="B8" i="6"/>
  <c r="F5" i="6"/>
  <c r="Z34" i="5"/>
  <c r="AA34" i="5" s="1"/>
  <c r="Y34" i="5"/>
  <c r="X34" i="5"/>
  <c r="AA33" i="5"/>
  <c r="Z33" i="5"/>
  <c r="Y33" i="5"/>
  <c r="X33" i="5"/>
  <c r="Z32" i="5"/>
  <c r="AA32" i="5" s="1"/>
  <c r="X32" i="5"/>
  <c r="Y32" i="5" s="1"/>
  <c r="AA31" i="5"/>
  <c r="Z31" i="5"/>
  <c r="Y31" i="5"/>
  <c r="X31" i="5"/>
  <c r="Z30" i="5"/>
  <c r="AA30" i="5" s="1"/>
  <c r="X30" i="5"/>
  <c r="Y30" i="5" s="1"/>
  <c r="Z29" i="5"/>
  <c r="AA29" i="5" s="1"/>
  <c r="X29" i="5"/>
  <c r="Y29" i="5" s="1"/>
  <c r="Z28" i="5"/>
  <c r="AA28" i="5" s="1"/>
  <c r="Y28" i="5"/>
  <c r="X28" i="5"/>
  <c r="Z27" i="5"/>
  <c r="AA27" i="5" s="1"/>
  <c r="Y27" i="5"/>
  <c r="X27" i="5"/>
  <c r="Z26" i="5"/>
  <c r="AA26" i="5" s="1"/>
  <c r="Y26" i="5"/>
  <c r="X26" i="5"/>
  <c r="Z25" i="5"/>
  <c r="AA25" i="5" s="1"/>
  <c r="X25" i="5"/>
  <c r="Y25" i="5" s="1"/>
  <c r="Z24" i="5"/>
  <c r="AA24" i="5" s="1"/>
  <c r="Y24" i="5"/>
  <c r="X24" i="5"/>
  <c r="AA23" i="5"/>
  <c r="Z23" i="5"/>
  <c r="X23" i="5"/>
  <c r="Y23" i="5" s="1"/>
  <c r="Z22" i="5"/>
  <c r="AA22" i="5" s="1"/>
  <c r="X22" i="5"/>
  <c r="Y22" i="5" s="1"/>
  <c r="AA21" i="5"/>
  <c r="Z21" i="5"/>
  <c r="X21" i="5"/>
  <c r="Y21" i="5" s="1"/>
  <c r="Z20" i="5"/>
  <c r="AA20" i="5" s="1"/>
  <c r="X20" i="5"/>
  <c r="Y20" i="5" s="1"/>
  <c r="AA19" i="5"/>
  <c r="Z19" i="5"/>
  <c r="X19" i="5"/>
  <c r="Y19" i="5" s="1"/>
  <c r="Z18" i="5"/>
  <c r="AA18" i="5" s="1"/>
  <c r="X18" i="5"/>
  <c r="Y18" i="5" s="1"/>
  <c r="AA17" i="5"/>
  <c r="Z17" i="5"/>
  <c r="X17" i="5"/>
  <c r="Y17" i="5" s="1"/>
  <c r="Z16" i="5"/>
  <c r="AA16" i="5" s="1"/>
  <c r="X16" i="5"/>
  <c r="Y16" i="5" s="1"/>
  <c r="AA15" i="5"/>
  <c r="Z15" i="5"/>
  <c r="X15" i="5"/>
  <c r="Y15" i="5" s="1"/>
  <c r="Z14" i="5"/>
  <c r="AA14" i="5" s="1"/>
  <c r="X14" i="5"/>
  <c r="Y14" i="5" s="1"/>
  <c r="AA13" i="5"/>
  <c r="Z13" i="5"/>
  <c r="X13" i="5"/>
  <c r="Y13" i="5" s="1"/>
  <c r="Z12" i="5"/>
  <c r="AA12" i="5" s="1"/>
  <c r="X12" i="5"/>
  <c r="Y12" i="5" s="1"/>
  <c r="AA11" i="5"/>
  <c r="Z11" i="5"/>
  <c r="X11" i="5"/>
  <c r="Y11" i="5" s="1"/>
  <c r="Z10" i="5"/>
  <c r="AA10" i="5" s="1"/>
  <c r="X10" i="5"/>
  <c r="Y10" i="5" s="1"/>
  <c r="AA9" i="5"/>
  <c r="Z9" i="5"/>
  <c r="X9" i="5"/>
  <c r="Y9" i="5" s="1"/>
  <c r="Z8" i="5"/>
  <c r="AA8" i="5" s="1"/>
  <c r="X8" i="5"/>
  <c r="Y8" i="5" s="1"/>
  <c r="AA7" i="5"/>
  <c r="Z7" i="5"/>
  <c r="X7" i="5"/>
  <c r="Y7" i="5" s="1"/>
  <c r="Z6" i="5"/>
  <c r="AA6" i="5" s="1"/>
  <c r="X6" i="5"/>
  <c r="Y6" i="5" s="1"/>
  <c r="AA5" i="5"/>
  <c r="Z5" i="5"/>
  <c r="X5" i="5"/>
  <c r="Y5" i="5" s="1"/>
  <c r="C12" i="4"/>
  <c r="C14" i="4" s="1"/>
  <c r="B12" i="6" s="1"/>
  <c r="A4" i="1"/>
  <c r="L33" i="2"/>
  <c r="H33" i="2"/>
  <c r="J33" i="2" s="1"/>
  <c r="G33" i="2"/>
  <c r="F33" i="2"/>
  <c r="E33" i="2"/>
  <c r="D33" i="2"/>
  <c r="B33" i="2"/>
  <c r="A33" i="2"/>
  <c r="L32" i="2"/>
  <c r="J32" i="2"/>
  <c r="H32" i="2"/>
  <c r="G32" i="2"/>
  <c r="F32" i="2"/>
  <c r="E32" i="2"/>
  <c r="D32" i="2"/>
  <c r="B32" i="2"/>
  <c r="A32" i="2"/>
  <c r="L31" i="2"/>
  <c r="J31" i="2"/>
  <c r="H31" i="2"/>
  <c r="G31" i="2"/>
  <c r="F31" i="2"/>
  <c r="E31" i="2"/>
  <c r="D31" i="2"/>
  <c r="B31" i="2"/>
  <c r="A31" i="2"/>
  <c r="J30" i="2"/>
  <c r="H30" i="2"/>
  <c r="G30" i="2"/>
  <c r="F30" i="2"/>
  <c r="E30" i="2"/>
  <c r="L30" i="2" s="1"/>
  <c r="D30" i="2"/>
  <c r="B30" i="2"/>
  <c r="A30" i="2"/>
  <c r="H29" i="2"/>
  <c r="J29" i="2" s="1"/>
  <c r="G29" i="2"/>
  <c r="F29" i="2"/>
  <c r="E29" i="2"/>
  <c r="L29" i="2" s="1"/>
  <c r="D29" i="2"/>
  <c r="B29" i="2"/>
  <c r="A29" i="2"/>
  <c r="H28" i="2"/>
  <c r="J28" i="2" s="1"/>
  <c r="G28" i="2"/>
  <c r="F28" i="2"/>
  <c r="E28" i="2"/>
  <c r="L28" i="2" s="1"/>
  <c r="D28" i="2"/>
  <c r="B28" i="2"/>
  <c r="A28" i="2"/>
  <c r="H27" i="2"/>
  <c r="J27" i="2" s="1"/>
  <c r="G27" i="2"/>
  <c r="F27" i="2"/>
  <c r="E27" i="2"/>
  <c r="L27" i="2" s="1"/>
  <c r="D27" i="2"/>
  <c r="B27" i="2"/>
  <c r="A27" i="2"/>
  <c r="L26" i="2"/>
  <c r="H26" i="2"/>
  <c r="J26" i="2" s="1"/>
  <c r="G26" i="2"/>
  <c r="F26" i="2"/>
  <c r="E26" i="2"/>
  <c r="D26" i="2"/>
  <c r="B26" i="2"/>
  <c r="A26" i="2"/>
  <c r="L25" i="2"/>
  <c r="H25" i="2"/>
  <c r="J25" i="2" s="1"/>
  <c r="G25" i="2"/>
  <c r="F25" i="2"/>
  <c r="E25" i="2"/>
  <c r="D25" i="2"/>
  <c r="B25" i="2"/>
  <c r="A25" i="2"/>
  <c r="L24" i="2"/>
  <c r="J24" i="2"/>
  <c r="H24" i="2"/>
  <c r="G24" i="2"/>
  <c r="F24" i="2"/>
  <c r="E24" i="2"/>
  <c r="D24" i="2"/>
  <c r="B24" i="2"/>
  <c r="A24" i="2"/>
  <c r="L23" i="2"/>
  <c r="J23" i="2"/>
  <c r="H23" i="2"/>
  <c r="G23" i="2"/>
  <c r="F23" i="2"/>
  <c r="E23" i="2"/>
  <c r="D23" i="2"/>
  <c r="B23" i="2"/>
  <c r="A23" i="2"/>
  <c r="J22" i="2"/>
  <c r="H22" i="2"/>
  <c r="G22" i="2"/>
  <c r="F22" i="2"/>
  <c r="E22" i="2"/>
  <c r="L22" i="2" s="1"/>
  <c r="D22" i="2"/>
  <c r="B22" i="2"/>
  <c r="A22" i="2"/>
  <c r="H18" i="2"/>
  <c r="H17" i="2"/>
  <c r="H16" i="2"/>
  <c r="H15" i="2"/>
  <c r="H14" i="2"/>
  <c r="H13" i="2"/>
  <c r="H12" i="2"/>
  <c r="H11" i="2"/>
  <c r="H10" i="2"/>
  <c r="D5" i="2"/>
  <c r="G36" i="1"/>
  <c r="G35" i="1"/>
  <c r="G34" i="1"/>
  <c r="G33" i="1"/>
  <c r="G32" i="1"/>
  <c r="G31" i="1"/>
  <c r="G30" i="1"/>
  <c r="G29" i="1"/>
  <c r="G28" i="1"/>
  <c r="D27" i="1"/>
  <c r="D4" i="1"/>
  <c r="J34" i="1" l="1"/>
  <c r="F7" i="6"/>
  <c r="D5" i="1" s="1"/>
  <c r="J35" i="1"/>
  <c r="J36" i="1"/>
  <c r="F12" i="6"/>
  <c r="F15" i="6" s="1"/>
  <c r="G27" i="1" s="1"/>
  <c r="J33" i="1"/>
  <c r="J27" i="1"/>
  <c r="J31" i="1"/>
  <c r="J28" i="1"/>
  <c r="J32" i="1"/>
  <c r="J29" i="1"/>
  <c r="J30" i="1"/>
  <c r="E36" i="6"/>
  <c r="A5" i="1"/>
  <c r="F10" i="6"/>
  <c r="A5" i="2"/>
  <c r="N21" i="6"/>
  <c r="K21" i="6"/>
  <c r="C25" i="6"/>
  <c r="J4" i="1"/>
  <c r="G21" i="6"/>
  <c r="O21" i="6"/>
  <c r="F13" i="6"/>
  <c r="H21" i="6"/>
  <c r="P21" i="6"/>
  <c r="I21" i="6"/>
  <c r="C22" i="6"/>
  <c r="J21" i="6"/>
  <c r="L21" i="6"/>
  <c r="E21" i="6"/>
  <c r="M21" i="6"/>
  <c r="F21" i="6"/>
  <c r="H30" i="1" l="1"/>
  <c r="H36" i="1"/>
  <c r="H28" i="1"/>
  <c r="H29" i="1"/>
  <c r="H35" i="1"/>
  <c r="H27" i="1"/>
  <c r="H33" i="1"/>
  <c r="H32" i="1"/>
  <c r="H34" i="1"/>
  <c r="H31" i="1"/>
  <c r="L23" i="6"/>
  <c r="L24" i="6" s="1"/>
  <c r="K23" i="6"/>
  <c r="K24" i="6" s="1"/>
  <c r="J23" i="6"/>
  <c r="J24" i="6" s="1"/>
  <c r="P23" i="6"/>
  <c r="P24" i="6" s="1"/>
  <c r="H23" i="6"/>
  <c r="H24" i="6" s="1"/>
  <c r="O23" i="6"/>
  <c r="O24" i="6" s="1"/>
  <c r="G23" i="6"/>
  <c r="G24" i="6" s="1"/>
  <c r="N23" i="6"/>
  <c r="N24" i="6" s="1"/>
  <c r="F23" i="6"/>
  <c r="F24" i="6" s="1"/>
  <c r="M23" i="6"/>
  <c r="M24" i="6" s="1"/>
  <c r="E23" i="6"/>
  <c r="I23" i="6"/>
  <c r="I24" i="6" s="1"/>
  <c r="B27" i="1"/>
  <c r="K27" i="1" s="1"/>
  <c r="J5" i="1"/>
  <c r="A6" i="2"/>
  <c r="H26" i="6" l="1"/>
  <c r="H29" i="6" s="1"/>
  <c r="H31" i="6" s="1"/>
  <c r="P26" i="6"/>
  <c r="P29" i="6" s="1"/>
  <c r="P31" i="6" s="1"/>
  <c r="I26" i="6"/>
  <c r="I29" i="6" s="1"/>
  <c r="I31" i="6" s="1"/>
  <c r="C23" i="6"/>
  <c r="E24" i="6"/>
  <c r="F26" i="6"/>
  <c r="F29" i="6" s="1"/>
  <c r="F31" i="6" s="1"/>
  <c r="M26" i="6"/>
  <c r="M29" i="6" s="1"/>
  <c r="M31" i="6" s="1"/>
  <c r="J26" i="6"/>
  <c r="J29" i="6" s="1"/>
  <c r="J31" i="6" s="1"/>
  <c r="K26" i="6"/>
  <c r="K29" i="6" s="1"/>
  <c r="K31" i="6" s="1"/>
  <c r="L26" i="6"/>
  <c r="L29" i="6" s="1"/>
  <c r="L31" i="6" s="1"/>
  <c r="G26" i="6"/>
  <c r="G29" i="6" s="1"/>
  <c r="G31" i="6" s="1"/>
  <c r="N26" i="6"/>
  <c r="N29" i="6" s="1"/>
  <c r="N31" i="6" s="1"/>
  <c r="O26" i="6"/>
  <c r="O29" i="6" s="1"/>
  <c r="O31" i="6" s="1"/>
  <c r="E26" i="6" l="1"/>
  <c r="C24" i="6"/>
  <c r="C26" i="6" l="1"/>
  <c r="E29" i="6"/>
  <c r="E27" i="6"/>
  <c r="E37" i="6"/>
  <c r="E38" i="6" l="1"/>
  <c r="F11" i="6"/>
  <c r="D98" i="6"/>
  <c r="F14" i="6"/>
  <c r="C29" i="6"/>
  <c r="E31" i="6"/>
  <c r="M37" i="2"/>
  <c r="C31" i="6" l="1"/>
  <c r="D99" i="6"/>
  <c r="F16" i="6"/>
  <c r="I29" i="1"/>
  <c r="I36" i="1"/>
  <c r="I28" i="1"/>
  <c r="I35" i="1"/>
  <c r="I27" i="1"/>
  <c r="I34" i="1"/>
  <c r="I32" i="1"/>
  <c r="I31" i="1"/>
  <c r="I33" i="1"/>
  <c r="I30" i="1"/>
  <c r="F36" i="6"/>
  <c r="E39" i="6"/>
  <c r="F27" i="6" l="1"/>
  <c r="D101" i="6"/>
  <c r="L37" i="2"/>
  <c r="M4" i="1"/>
  <c r="M5" i="1"/>
  <c r="D100" i="6"/>
  <c r="F37" i="6"/>
  <c r="F38" i="6" s="1"/>
  <c r="G36" i="6" l="1"/>
  <c r="F39" i="6"/>
  <c r="G27" i="6" l="1"/>
  <c r="G37" i="6"/>
  <c r="G38" i="6" l="1"/>
  <c r="G39" i="6" l="1"/>
  <c r="H36" i="6"/>
  <c r="H37" i="6" l="1"/>
  <c r="H38" i="6" s="1"/>
  <c r="H27" i="6"/>
  <c r="H39" i="6" l="1"/>
  <c r="I36" i="6"/>
  <c r="I37" i="6" l="1"/>
  <c r="I38" i="6" s="1"/>
  <c r="I27" i="6"/>
  <c r="J36" i="6" l="1"/>
  <c r="I39" i="6"/>
  <c r="J27" i="6" l="1"/>
  <c r="J37" i="6"/>
  <c r="J38" i="6" s="1"/>
  <c r="K36" i="6" l="1"/>
  <c r="J39" i="6"/>
  <c r="K27" i="6" s="1"/>
  <c r="K37" i="6" l="1"/>
  <c r="K38" i="6" s="1"/>
  <c r="L36" i="6" l="1"/>
  <c r="K39" i="6"/>
  <c r="L27" i="6" s="1"/>
  <c r="L37" i="6" l="1"/>
  <c r="L38" i="6" s="1"/>
  <c r="M36" i="6" l="1"/>
  <c r="L39" i="6"/>
  <c r="M27" i="6" s="1"/>
  <c r="M37" i="6" l="1"/>
  <c r="M38" i="6" s="1"/>
  <c r="N36" i="6" l="1"/>
  <c r="M39" i="6"/>
  <c r="N27" i="6" s="1"/>
  <c r="N37" i="6" l="1"/>
  <c r="N38" i="6" s="1"/>
  <c r="O36" i="6" l="1"/>
  <c r="N39" i="6"/>
  <c r="O27" i="6" s="1"/>
  <c r="O37" i="6" l="1"/>
  <c r="O38" i="6" s="1"/>
  <c r="O39" i="6" l="1"/>
  <c r="P27" i="6" s="1"/>
  <c r="C27" i="6" s="1"/>
  <c r="P36" i="6"/>
  <c r="P37" i="6" l="1"/>
  <c r="D37" i="6" s="1"/>
  <c r="D36" i="6"/>
  <c r="P38" i="6" l="1"/>
  <c r="P39" i="6" l="1"/>
  <c r="E42" i="6"/>
  <c r="D38" i="6"/>
  <c r="E43" i="6" l="1"/>
  <c r="F27" i="1"/>
  <c r="D28" i="1"/>
  <c r="I37" i="2"/>
  <c r="B28" i="1"/>
  <c r="K28" i="1" s="1"/>
  <c r="D39" i="6"/>
  <c r="E27" i="1" s="1"/>
  <c r="E44" i="6" l="1"/>
  <c r="F42" i="6" l="1"/>
  <c r="E45" i="6"/>
  <c r="F43" i="6" l="1"/>
  <c r="F44" i="6" l="1"/>
  <c r="G42" i="6" l="1"/>
  <c r="F45" i="6"/>
  <c r="G43" i="6" l="1"/>
  <c r="G44" i="6" s="1"/>
  <c r="H42" i="6" l="1"/>
  <c r="G45" i="6"/>
  <c r="H43" i="6" l="1"/>
  <c r="H44" i="6" s="1"/>
  <c r="I42" i="6" l="1"/>
  <c r="H45" i="6"/>
  <c r="I43" i="6" l="1"/>
  <c r="I44" i="6" s="1"/>
  <c r="J42" i="6" l="1"/>
  <c r="I45" i="6"/>
  <c r="J43" i="6" l="1"/>
  <c r="J44" i="6" s="1"/>
  <c r="K42" i="6" l="1"/>
  <c r="J45" i="6"/>
  <c r="K43" i="6" l="1"/>
  <c r="K44" i="6" s="1"/>
  <c r="K45" i="6" l="1"/>
  <c r="L42" i="6"/>
  <c r="L43" i="6" l="1"/>
  <c r="L44" i="6" s="1"/>
  <c r="L45" i="6" l="1"/>
  <c r="M42" i="6"/>
  <c r="M43" i="6" l="1"/>
  <c r="M44" i="6" s="1"/>
  <c r="N42" i="6" l="1"/>
  <c r="M45" i="6"/>
  <c r="N43" i="6" l="1"/>
  <c r="N44" i="6" s="1"/>
  <c r="O42" i="6" l="1"/>
  <c r="N45" i="6"/>
  <c r="O43" i="6" l="1"/>
  <c r="O44" i="6" s="1"/>
  <c r="P42" i="6" l="1"/>
  <c r="O45" i="6"/>
  <c r="P43" i="6" l="1"/>
  <c r="D43" i="6" s="1"/>
  <c r="D42" i="6"/>
  <c r="P44" i="6" l="1"/>
  <c r="E48" i="6" l="1"/>
  <c r="P45" i="6"/>
  <c r="D44" i="6"/>
  <c r="D29" i="1" l="1"/>
  <c r="F28" i="1"/>
  <c r="B29" i="1"/>
  <c r="K29" i="1" s="1"/>
  <c r="D45" i="6"/>
  <c r="E28" i="1" s="1"/>
  <c r="E49" i="6"/>
  <c r="E50" i="6" l="1"/>
  <c r="F48" i="6" l="1"/>
  <c r="E51" i="6"/>
  <c r="F49" i="6" l="1"/>
  <c r="F50" i="6" l="1"/>
  <c r="G48" i="6" l="1"/>
  <c r="F51" i="6"/>
  <c r="G49" i="6" l="1"/>
  <c r="G50" i="6" l="1"/>
  <c r="G51" i="6" l="1"/>
  <c r="H48" i="6"/>
  <c r="H49" i="6" l="1"/>
  <c r="H50" i="6" s="1"/>
  <c r="H51" i="6" l="1"/>
  <c r="I48" i="6"/>
  <c r="I49" i="6" l="1"/>
  <c r="I50" i="6" s="1"/>
  <c r="J48" i="6" l="1"/>
  <c r="I51" i="6"/>
  <c r="J49" i="6" l="1"/>
  <c r="J50" i="6" s="1"/>
  <c r="K48" i="6" l="1"/>
  <c r="J51" i="6"/>
  <c r="K49" i="6" l="1"/>
  <c r="K50" i="6" s="1"/>
  <c r="L48" i="6" l="1"/>
  <c r="K51" i="6"/>
  <c r="L49" i="6" l="1"/>
  <c r="L50" i="6" s="1"/>
  <c r="M48" i="6" l="1"/>
  <c r="L51" i="6"/>
  <c r="M49" i="6" l="1"/>
  <c r="M50" i="6" s="1"/>
  <c r="N48" i="6" l="1"/>
  <c r="M51" i="6"/>
  <c r="N49" i="6" l="1"/>
  <c r="N50" i="6" s="1"/>
  <c r="O48" i="6" l="1"/>
  <c r="N51" i="6"/>
  <c r="O49" i="6" l="1"/>
  <c r="O50" i="6" s="1"/>
  <c r="O51" i="6" l="1"/>
  <c r="P48" i="6"/>
  <c r="P49" i="6" l="1"/>
  <c r="D49" i="6" s="1"/>
  <c r="D48" i="6"/>
  <c r="P50" i="6" l="1"/>
  <c r="P51" i="6" l="1"/>
  <c r="E54" i="6"/>
  <c r="D50" i="6"/>
  <c r="E55" i="6" l="1"/>
  <c r="F29" i="1"/>
  <c r="D30" i="1"/>
  <c r="B30" i="1"/>
  <c r="K30" i="1" s="1"/>
  <c r="D51" i="6"/>
  <c r="E29" i="1" s="1"/>
  <c r="E56" i="6" l="1"/>
  <c r="F54" i="6" l="1"/>
  <c r="E57" i="6"/>
  <c r="F55" i="6" l="1"/>
  <c r="F56" i="6" l="1"/>
  <c r="G54" i="6" l="1"/>
  <c r="F57" i="6"/>
  <c r="G55" i="6" l="1"/>
  <c r="G56" i="6" l="1"/>
  <c r="H54" i="6" l="1"/>
  <c r="G57" i="6"/>
  <c r="H55" i="6" l="1"/>
  <c r="H56" i="6" s="1"/>
  <c r="I54" i="6" l="1"/>
  <c r="H57" i="6"/>
  <c r="I55" i="6" l="1"/>
  <c r="I56" i="6" s="1"/>
  <c r="J54" i="6" l="1"/>
  <c r="I57" i="6"/>
  <c r="J55" i="6" l="1"/>
  <c r="J56" i="6" s="1"/>
  <c r="K54" i="6" l="1"/>
  <c r="J57" i="6"/>
  <c r="K55" i="6" l="1"/>
  <c r="K56" i="6" s="1"/>
  <c r="K57" i="6" l="1"/>
  <c r="L54" i="6"/>
  <c r="L55" i="6" l="1"/>
  <c r="L56" i="6" s="1"/>
  <c r="L57" i="6" l="1"/>
  <c r="M54" i="6"/>
  <c r="M55" i="6" l="1"/>
  <c r="M56" i="6" s="1"/>
  <c r="N54" i="6" l="1"/>
  <c r="M57" i="6"/>
  <c r="N55" i="6" l="1"/>
  <c r="N56" i="6" s="1"/>
  <c r="O54" i="6" l="1"/>
  <c r="N57" i="6"/>
  <c r="O55" i="6" l="1"/>
  <c r="O56" i="6" s="1"/>
  <c r="P54" i="6" l="1"/>
  <c r="O57" i="6"/>
  <c r="P55" i="6" l="1"/>
  <c r="D55" i="6" s="1"/>
  <c r="D54" i="6"/>
  <c r="P56" i="6" l="1"/>
  <c r="E60" i="6" l="1"/>
  <c r="P57" i="6"/>
  <c r="D56" i="6"/>
  <c r="F30" i="1" l="1"/>
  <c r="D31" i="1"/>
  <c r="B31" i="1"/>
  <c r="K31" i="1" s="1"/>
  <c r="D57" i="6"/>
  <c r="E30" i="1" s="1"/>
  <c r="E61" i="6"/>
  <c r="E62" i="6" l="1"/>
  <c r="F60" i="6" l="1"/>
  <c r="E63" i="6"/>
  <c r="F61" i="6" l="1"/>
  <c r="F62" i="6" l="1"/>
  <c r="G60" i="6" l="1"/>
  <c r="F63" i="6"/>
  <c r="G61" i="6" l="1"/>
  <c r="G62" i="6" l="1"/>
  <c r="G63" i="6" l="1"/>
  <c r="H60" i="6"/>
  <c r="H61" i="6" l="1"/>
  <c r="H62" i="6" s="1"/>
  <c r="H63" i="6" l="1"/>
  <c r="I60" i="6"/>
  <c r="I61" i="6" l="1"/>
  <c r="I62" i="6" s="1"/>
  <c r="J60" i="6" l="1"/>
  <c r="I63" i="6"/>
  <c r="J61" i="6" l="1"/>
  <c r="J62" i="6" s="1"/>
  <c r="K60" i="6" l="1"/>
  <c r="J63" i="6"/>
  <c r="K61" i="6" l="1"/>
  <c r="K62" i="6" s="1"/>
  <c r="L60" i="6" l="1"/>
  <c r="K63" i="6"/>
  <c r="L61" i="6" l="1"/>
  <c r="L62" i="6" s="1"/>
  <c r="M60" i="6" l="1"/>
  <c r="L63" i="6"/>
  <c r="M61" i="6" l="1"/>
  <c r="M62" i="6" s="1"/>
  <c r="N60" i="6" l="1"/>
  <c r="M63" i="6"/>
  <c r="N61" i="6" l="1"/>
  <c r="N62" i="6" s="1"/>
  <c r="O60" i="6" l="1"/>
  <c r="N63" i="6"/>
  <c r="O61" i="6" l="1"/>
  <c r="O62" i="6" s="1"/>
  <c r="O63" i="6" l="1"/>
  <c r="P60" i="6"/>
  <c r="P61" i="6" l="1"/>
  <c r="D61" i="6" s="1"/>
  <c r="D60" i="6"/>
  <c r="P62" i="6" l="1"/>
  <c r="P63" i="6" l="1"/>
  <c r="E66" i="6"/>
  <c r="D62" i="6"/>
  <c r="E67" i="6" l="1"/>
  <c r="F31" i="1"/>
  <c r="D32" i="1"/>
  <c r="B32" i="1"/>
  <c r="K32" i="1" s="1"/>
  <c r="J37" i="2"/>
  <c r="D63" i="6"/>
  <c r="E31" i="1" s="1"/>
  <c r="E68" i="6" l="1"/>
  <c r="F66" i="6" l="1"/>
  <c r="E69" i="6"/>
  <c r="F67" i="6" l="1"/>
  <c r="F68" i="6" s="1"/>
  <c r="G66" i="6" l="1"/>
  <c r="F69" i="6"/>
  <c r="G67" i="6" l="1"/>
  <c r="G68" i="6" l="1"/>
  <c r="H66" i="6" l="1"/>
  <c r="G69" i="6"/>
  <c r="H67" i="6" l="1"/>
  <c r="H68" i="6" s="1"/>
  <c r="I66" i="6" l="1"/>
  <c r="H69" i="6"/>
  <c r="I67" i="6" l="1"/>
  <c r="I68" i="6" s="1"/>
  <c r="J66" i="6" l="1"/>
  <c r="I69" i="6"/>
  <c r="J67" i="6" l="1"/>
  <c r="J68" i="6" s="1"/>
  <c r="K66" i="6" l="1"/>
  <c r="J69" i="6"/>
  <c r="K67" i="6" l="1"/>
  <c r="K68" i="6" s="1"/>
  <c r="K69" i="6" l="1"/>
  <c r="L66" i="6"/>
  <c r="L67" i="6" l="1"/>
  <c r="L68" i="6" s="1"/>
  <c r="L69" i="6" l="1"/>
  <c r="M66" i="6"/>
  <c r="M67" i="6" l="1"/>
  <c r="M68" i="6" s="1"/>
  <c r="N66" i="6" l="1"/>
  <c r="M69" i="6"/>
  <c r="N67" i="6" l="1"/>
  <c r="N68" i="6" s="1"/>
  <c r="O66" i="6" l="1"/>
  <c r="N69" i="6"/>
  <c r="O67" i="6" l="1"/>
  <c r="O68" i="6" s="1"/>
  <c r="P66" i="6" l="1"/>
  <c r="O69" i="6"/>
  <c r="P67" i="6" l="1"/>
  <c r="D67" i="6" s="1"/>
  <c r="D66" i="6"/>
  <c r="P68" i="6" l="1"/>
  <c r="E72" i="6" l="1"/>
  <c r="P69" i="6"/>
  <c r="D68" i="6"/>
  <c r="F32" i="1" l="1"/>
  <c r="B33" i="1"/>
  <c r="K33" i="1" s="1"/>
  <c r="D33" i="1"/>
  <c r="D69" i="6"/>
  <c r="E32" i="1" s="1"/>
  <c r="E73" i="6"/>
  <c r="E74" i="6" l="1"/>
  <c r="F72" i="6" l="1"/>
  <c r="E75" i="6"/>
  <c r="F73" i="6" l="1"/>
  <c r="F74" i="6" s="1"/>
  <c r="G72" i="6" l="1"/>
  <c r="F75" i="6"/>
  <c r="G73" i="6" l="1"/>
  <c r="G74" i="6" l="1"/>
  <c r="G75" i="6" l="1"/>
  <c r="H72" i="6"/>
  <c r="H73" i="6" l="1"/>
  <c r="H74" i="6" s="1"/>
  <c r="H75" i="6" l="1"/>
  <c r="I72" i="6"/>
  <c r="I73" i="6" l="1"/>
  <c r="I74" i="6" s="1"/>
  <c r="J72" i="6" l="1"/>
  <c r="I75" i="6"/>
  <c r="J73" i="6" l="1"/>
  <c r="J74" i="6" s="1"/>
  <c r="K72" i="6" l="1"/>
  <c r="J75" i="6"/>
  <c r="K73" i="6" l="1"/>
  <c r="K74" i="6" s="1"/>
  <c r="L72" i="6" l="1"/>
  <c r="K75" i="6"/>
  <c r="L73" i="6" l="1"/>
  <c r="L74" i="6" s="1"/>
  <c r="M72" i="6" l="1"/>
  <c r="L75" i="6"/>
  <c r="M73" i="6" l="1"/>
  <c r="M74" i="6" s="1"/>
  <c r="N72" i="6" l="1"/>
  <c r="M75" i="6"/>
  <c r="N73" i="6" l="1"/>
  <c r="N74" i="6" s="1"/>
  <c r="O72" i="6" l="1"/>
  <c r="N75" i="6"/>
  <c r="O73" i="6" l="1"/>
  <c r="O74" i="6" s="1"/>
  <c r="O75" i="6" l="1"/>
  <c r="P72" i="6"/>
  <c r="P73" i="6" l="1"/>
  <c r="D73" i="6" s="1"/>
  <c r="D72" i="6"/>
  <c r="P74" i="6" l="1"/>
  <c r="P75" i="6" l="1"/>
  <c r="E78" i="6"/>
  <c r="D74" i="6"/>
  <c r="E79" i="6" l="1"/>
  <c r="D34" i="1"/>
  <c r="B34" i="1"/>
  <c r="K34" i="1" s="1"/>
  <c r="F33" i="1"/>
  <c r="D75" i="6"/>
  <c r="E33" i="1" s="1"/>
  <c r="E80" i="6" l="1"/>
  <c r="F78" i="6" l="1"/>
  <c r="E81" i="6"/>
  <c r="F79" i="6" l="1"/>
  <c r="F80" i="6" l="1"/>
  <c r="G78" i="6" l="1"/>
  <c r="F81" i="6"/>
  <c r="G79" i="6" l="1"/>
  <c r="G80" i="6" l="1"/>
  <c r="H78" i="6" l="1"/>
  <c r="G81" i="6"/>
  <c r="H79" i="6" l="1"/>
  <c r="H80" i="6" s="1"/>
  <c r="I78" i="6" l="1"/>
  <c r="H81" i="6"/>
  <c r="I79" i="6" l="1"/>
  <c r="I80" i="6" s="1"/>
  <c r="J78" i="6" l="1"/>
  <c r="I81" i="6"/>
  <c r="J79" i="6" l="1"/>
  <c r="J80" i="6" s="1"/>
  <c r="K78" i="6" l="1"/>
  <c r="J81" i="6"/>
  <c r="K79" i="6" l="1"/>
  <c r="K80" i="6" s="1"/>
  <c r="K81" i="6" l="1"/>
  <c r="L78" i="6"/>
  <c r="L79" i="6" l="1"/>
  <c r="L80" i="6" s="1"/>
  <c r="L81" i="6" l="1"/>
  <c r="M78" i="6"/>
  <c r="M79" i="6" l="1"/>
  <c r="M80" i="6" s="1"/>
  <c r="N78" i="6" l="1"/>
  <c r="M81" i="6"/>
  <c r="N79" i="6" l="1"/>
  <c r="N80" i="6" s="1"/>
  <c r="O78" i="6" l="1"/>
  <c r="N81" i="6"/>
  <c r="O79" i="6" l="1"/>
  <c r="O80" i="6" s="1"/>
  <c r="P78" i="6" l="1"/>
  <c r="O81" i="6"/>
  <c r="P79" i="6" l="1"/>
  <c r="D79" i="6" s="1"/>
  <c r="D78" i="6"/>
  <c r="P80" i="6" l="1"/>
  <c r="E84" i="6" l="1"/>
  <c r="P81" i="6"/>
  <c r="D80" i="6"/>
  <c r="B35" i="1" l="1"/>
  <c r="K35" i="1" s="1"/>
  <c r="F34" i="1"/>
  <c r="D35" i="1"/>
  <c r="D81" i="6"/>
  <c r="E34" i="1" s="1"/>
  <c r="E85" i="6"/>
  <c r="E86" i="6" l="1"/>
  <c r="F84" i="6" l="1"/>
  <c r="E87" i="6"/>
  <c r="F85" i="6" l="1"/>
  <c r="F86" i="6" l="1"/>
  <c r="G84" i="6" l="1"/>
  <c r="F87" i="6"/>
  <c r="G85" i="6" l="1"/>
  <c r="G86" i="6" l="1"/>
  <c r="G87" i="6" l="1"/>
  <c r="H84" i="6"/>
  <c r="H85" i="6" l="1"/>
  <c r="H86" i="6" s="1"/>
  <c r="H87" i="6" l="1"/>
  <c r="I84" i="6"/>
  <c r="I85" i="6" l="1"/>
  <c r="I86" i="6" s="1"/>
  <c r="J84" i="6" l="1"/>
  <c r="I87" i="6"/>
  <c r="J85" i="6" l="1"/>
  <c r="J86" i="6" s="1"/>
  <c r="K84" i="6" l="1"/>
  <c r="J87" i="6"/>
  <c r="K85" i="6" l="1"/>
  <c r="K86" i="6" s="1"/>
  <c r="L84" i="6" l="1"/>
  <c r="K87" i="6"/>
  <c r="L85" i="6" l="1"/>
  <c r="L86" i="6" s="1"/>
  <c r="M84" i="6" l="1"/>
  <c r="L87" i="6"/>
  <c r="M85" i="6" l="1"/>
  <c r="M86" i="6" s="1"/>
  <c r="N84" i="6" l="1"/>
  <c r="M87" i="6"/>
  <c r="N85" i="6" l="1"/>
  <c r="N86" i="6" s="1"/>
  <c r="O84" i="6" l="1"/>
  <c r="N87" i="6"/>
  <c r="O85" i="6" l="1"/>
  <c r="O86" i="6" s="1"/>
  <c r="O87" i="6" l="1"/>
  <c r="P84" i="6"/>
  <c r="P85" i="6" l="1"/>
  <c r="D85" i="6" s="1"/>
  <c r="D84" i="6"/>
  <c r="P86" i="6" l="1"/>
  <c r="P87" i="6" l="1"/>
  <c r="E90" i="6"/>
  <c r="D86" i="6"/>
  <c r="E91" i="6" l="1"/>
  <c r="F35" i="1"/>
  <c r="D36" i="1"/>
  <c r="B36" i="1"/>
  <c r="K36" i="1" s="1"/>
  <c r="F8" i="6"/>
  <c r="D87" i="6"/>
  <c r="E35" i="1" s="1"/>
  <c r="G37" i="2" l="1"/>
  <c r="G4" i="1"/>
  <c r="E92" i="6"/>
  <c r="F90" i="6" l="1"/>
  <c r="E93" i="6"/>
  <c r="F91" i="6" l="1"/>
  <c r="F92" i="6" l="1"/>
  <c r="G90" i="6" l="1"/>
  <c r="F93" i="6"/>
  <c r="G91" i="6" l="1"/>
  <c r="G92" i="6" l="1"/>
  <c r="H90" i="6" l="1"/>
  <c r="G93" i="6"/>
  <c r="H91" i="6" l="1"/>
  <c r="H92" i="6" s="1"/>
  <c r="I90" i="6" l="1"/>
  <c r="H93" i="6"/>
  <c r="I91" i="6" l="1"/>
  <c r="I92" i="6" s="1"/>
  <c r="J90" i="6" l="1"/>
  <c r="I93" i="6"/>
  <c r="J91" i="6" l="1"/>
  <c r="J92" i="6" s="1"/>
  <c r="K90" i="6" l="1"/>
  <c r="J93" i="6"/>
  <c r="K91" i="6" l="1"/>
  <c r="K92" i="6" s="1"/>
  <c r="K93" i="6" l="1"/>
  <c r="L90" i="6"/>
  <c r="L91" i="6" l="1"/>
  <c r="L92" i="6" s="1"/>
  <c r="L93" i="6" l="1"/>
  <c r="M90" i="6"/>
  <c r="M91" i="6" l="1"/>
  <c r="M92" i="6" s="1"/>
  <c r="N90" i="6" l="1"/>
  <c r="M93" i="6"/>
  <c r="N91" i="6" l="1"/>
  <c r="N92" i="6" s="1"/>
  <c r="O90" i="6" l="1"/>
  <c r="N93" i="6"/>
  <c r="O91" i="6" l="1"/>
  <c r="O92" i="6" s="1"/>
  <c r="P90" i="6" l="1"/>
  <c r="O93" i="6"/>
  <c r="P91" i="6" l="1"/>
  <c r="D91" i="6" s="1"/>
  <c r="D90" i="6"/>
  <c r="P92" i="6" l="1"/>
  <c r="P93" i="6" l="1"/>
  <c r="D92" i="6"/>
  <c r="K37" i="2" l="1"/>
  <c r="F36" i="1"/>
  <c r="D93" i="6"/>
  <c r="E36" i="1" s="1"/>
</calcChain>
</file>

<file path=xl/sharedStrings.xml><?xml version="1.0" encoding="utf-8"?>
<sst xmlns="http://schemas.openxmlformats.org/spreadsheetml/2006/main" count="588" uniqueCount="347">
  <si>
    <t>IRAQ SOIL &amp; WATER BALANCE - EXECUTIVE DECISION SUPPORT &amp; RECLAMATION ADVISORY TOOL</t>
  </si>
  <si>
    <t>SOIL PROFILE &amp; TEXTURE</t>
  </si>
  <si>
    <t>TARGET CROP &amp; YIELD GOAL</t>
  </si>
  <si>
    <t>ESTIMATED PLANTING YEAR</t>
  </si>
  <si>
    <t>ACTIVE PIONEER / RECLAMATION CROP</t>
  </si>
  <si>
    <t>LONG-TERM STEADY-STATE</t>
  </si>
  <si>
    <t>Calculated Feasibility Horizon</t>
  </si>
  <si>
    <t>VISUAL ANALYTICS: 10-YEAR SALINITY TRAJECTORY &amp; WATER DEMAND BREAKDOWN</t>
  </si>
  <si>
    <t>10-YEAR DYNAMIC CROP ROTATION &amp; SOIL RECLAMATION ACTION PLAN</t>
  </si>
  <si>
    <t>Year</t>
  </si>
  <si>
    <t>Active Cultivated Crop</t>
  </si>
  <si>
    <t>Start Soil ECe (dS/m)</t>
  </si>
  <si>
    <t>Annual Avg Soil ECe (dS/m)</t>
  </si>
  <si>
    <t>End Soil ECe (dS/m)</t>
  </si>
  <si>
    <t>Pre-Season Flush (mm)</t>
  </si>
  <si>
    <t>Seasonal LF %</t>
  </si>
  <si>
    <t>Total Water Demand (mm/yr)</t>
  </si>
  <si>
    <t>Target Threshold (dS/m)</t>
  </si>
  <si>
    <t>Crop Stage &amp; Action Recommendation Note</t>
  </si>
  <si>
    <t>Year 1</t>
  </si>
  <si>
    <t>Year 2</t>
  </si>
  <si>
    <t>Year 3</t>
  </si>
  <si>
    <t>Year 4</t>
  </si>
  <si>
    <t>Year 5</t>
  </si>
  <si>
    <t>Year 6</t>
  </si>
  <si>
    <t>Year 7</t>
  </si>
  <si>
    <t>Year 8</t>
  </si>
  <si>
    <t>Year 9</t>
  </si>
  <si>
    <t>Year 10</t>
  </si>
  <si>
    <t>EXECUTIVE FAO-29 FLUSHING GUIDELINES &amp; RECLAMATION STRATEGY</t>
  </si>
  <si>
    <t>• FAO-29 FLUSHING FREQUENCY PRINCIPLES: According to FAO Irrigation Paper 29, pre-season soil flushing can be applied as a single initial reclamation leaching (Year 1) OR as an annual/bi-annual pre-sowing leaching fraction boost. Annual pre-sowing flush is recommended when irrigation water quality (ECi) is high and off-season fallow evaporation causes recurring surface salt accumulation.
• DYNAMIC CROP ROTATION &amp; AUTOMATIC TRANSITION: As long as soil salinity (ECe) exceeds the Target Crop threshold, the system cultivates the chosen Pioneer Crop. Once soil ECe drops below the Target Crop threshold, the model automatically switches to the Target Crop for that year and all future years.
• WATER QUALITY &amp; EQUILIBRIUM CONSTRAINT: If Long-Term Equilibrium salinity (ECe,eq) exceeds the Target Crop threshold, the Target Crop CANNOT be sustained long-term with the current irrigation water quality (ECi) unless water quality is improved or leaching fraction is increased.</t>
  </si>
  <si>
    <t>DECISION SUPPORT, CROP WATER EFFICIENCY &amp; MULTI-SCENARIO ADVISOR</t>
  </si>
  <si>
    <t>1. SMART RECLAMATION &amp; CROP ROTATION RECOMMENDATIONS</t>
  </si>
  <si>
    <t>RECOMMENDED PIONEER CATEGORY</t>
  </si>
  <si>
    <t>RECOMMENDED PLANTING MONTH</t>
  </si>
  <si>
    <t>RECOMMENDED IRRIGATION STRATEGY</t>
  </si>
  <si>
    <t>FLUSHING RECOMMENDATION</t>
  </si>
  <si>
    <t>Plant &amp; Soil Focused (Optimal)</t>
  </si>
  <si>
    <t>Annual Pre-Sowing Flush (200 mm)</t>
  </si>
  <si>
    <t>FAO-56 Lowest ETc Demand Month</t>
  </si>
  <si>
    <t>Protects Crop Yield + Soil Leaching</t>
  </si>
  <si>
    <t>FAO-29 Salt Removal Protocol</t>
  </si>
  <si>
    <t>2. SMART PIONEER CROP SELECTION ADVISOR &amp; SALINITY TOLERANCE RANKING</t>
  </si>
  <si>
    <t>Suitability Group</t>
  </si>
  <si>
    <t>Recommended Pioneer Crop Species</t>
  </si>
  <si>
    <t>Category / Function</t>
  </si>
  <si>
    <t>Threshold ECe (100%)</t>
  </si>
  <si>
    <t>EC_max Limit (0%)</t>
  </si>
  <si>
    <t>Viability Status at Current Soil ECe</t>
  </si>
  <si>
    <t>Group 1: Extreme Halophytes (&gt;12 dS/m)</t>
  </si>
  <si>
    <t>Salicornia (Glasswort)</t>
  </si>
  <si>
    <t>Halophyte Oilseed / Bio-Saline</t>
  </si>
  <si>
    <t>Atriplex (Saltbush)</t>
  </si>
  <si>
    <t>Halophyte Forage Shrub</t>
  </si>
  <si>
    <t>Date Palm</t>
  </si>
  <si>
    <t>Perennial Fruit Tree</t>
  </si>
  <si>
    <t>Group 2: Pioneer Grains &amp; Grasses (8-12 dS/m)</t>
  </si>
  <si>
    <t>Rhodes Grass</t>
  </si>
  <si>
    <t>Perennial Fodder Grass</t>
  </si>
  <si>
    <t>Barley</t>
  </si>
  <si>
    <t>Winter Grain / Reclamation Pioneer</t>
  </si>
  <si>
    <t>Rye</t>
  </si>
  <si>
    <t>Winter Cereal Grain</t>
  </si>
  <si>
    <t>Group 3: Bio-Subsoilers &amp; Hardpan Breakers</t>
  </si>
  <si>
    <t>Vetiver Grass</t>
  </si>
  <si>
    <t>Deep-Root Bio-Drainage / Subsoiler</t>
  </si>
  <si>
    <t>Tillage Radish (Bio-Subsoiler)</t>
  </si>
  <si>
    <t>Deep Taproot Hardpan Breaker</t>
  </si>
  <si>
    <t>Sesbania / Sunn Hemp</t>
  </si>
  <si>
    <t>Deep-Root Nitrogen Legume</t>
  </si>
  <si>
    <t>3. CROP WATER CONSUMPTION, SALINITY TOLERANCE &amp; COMBINED SUITABILITY MATRIX</t>
  </si>
  <si>
    <t>Crop Species</t>
  </si>
  <si>
    <t>Category / Group</t>
  </si>
  <si>
    <t>Default Planting</t>
  </si>
  <si>
    <t>Duration (Mo)</t>
  </si>
  <si>
    <t>Seasonal ETc Demand (mm/yr)</t>
  </si>
  <si>
    <t>Water Efficiency Rating</t>
  </si>
  <si>
    <t>Combined Suitability (Salt + Water Met Check)</t>
  </si>
  <si>
    <t>4. 10-YEAR MULTI-SCENARIO STRATEGIC COMPARISON MATRIX</t>
  </si>
  <si>
    <t>Strategic Scenario Name</t>
  </si>
  <si>
    <t>Irrigation Mode</t>
  </si>
  <si>
    <t>Flushing Strategy</t>
  </si>
  <si>
    <t>Feasibility Year</t>
  </si>
  <si>
    <t>Y1 ECe</t>
  </si>
  <si>
    <t>Y5 ECe</t>
  </si>
  <si>
    <t>Y10 ECe</t>
  </si>
  <si>
    <t>Equilibrium ECe,eq</t>
  </si>
  <si>
    <t>10-Yr Water Applied</t>
  </si>
  <si>
    <t>Scenario 1: Optimal Soil Reclamation</t>
  </si>
  <si>
    <t>Plant &amp; Soil Focused</t>
  </si>
  <si>
    <t>Annual Pre-Sowing Flush</t>
  </si>
  <si>
    <t>Scenario 2: Water Saving Strategy</t>
  </si>
  <si>
    <t>Plant-Focused: Exact Demand</t>
  </si>
  <si>
    <t>Scenario 3: Single Reclamation Flush</t>
  </si>
  <si>
    <t>Year 1 Reclamation Only</t>
  </si>
  <si>
    <t>Scenario 4: No Pre-Season Flushing</t>
  </si>
  <si>
    <t>No Pre-Season Flushing</t>
  </si>
  <si>
    <t>Scenario 5: Rainfed Strategy</t>
  </si>
  <si>
    <t>Rainfed Only (No Irrigation)</t>
  </si>
  <si>
    <t>Year 10+</t>
  </si>
  <si>
    <t>Scenario 6: Alternative Bio-Subsoiler Rotation</t>
  </si>
  <si>
    <t>IRAQ SALT &amp; WATER BALANCE MODEL - USER GUIDE &amp; METHODOLOGY</t>
  </si>
  <si>
    <t>This decision-support tool is a monthly rootzone water and salt balance model for agricultural land management in arid and salt-affected regions, specifically calibrated for Iraq, the Arabian Peninsula, and the Middle East. Based on FAO-56 evapotranspiration guidelines and ILRI Publication 16 (Dieleman &amp; Ridder, 1980), the model evaluates how irrigation water quality (ECi), crop choices, climate evapotranspiration (ETo), and effective rainfall (P) impact soil salinity accumulation (ECe) and crop yield over multi-year horizons.</t>
  </si>
  <si>
    <t>KEY MODEL FEATURES &amp; ADVANCED CAPABILITIES</t>
  </si>
  <si>
    <t>1. Dynamic Multi-Year Crop Rotation</t>
  </si>
  <si>
    <t>As long as soil salinity is too high, the system cultivates the selected Pioneer Crop. As soon as salinity drops below the Target Crop threshold, the model automatically switches to the Target Crop for that year and all future years, dynamically updating Kc, ETc, and leaching requirements.</t>
  </si>
  <si>
    <t>2. Dedicated Strategy &amp; Crop Advisor Sheet</t>
  </si>
  <si>
    <t>Features a brand-new Strategy &amp; Crop Advisor sheet comparing crop water consumption (ETc mm/yr), water efficiency ratings, and side-by-side irrigation strategy tradeoffs.</t>
  </si>
  <si>
    <t>3. Flexible FAO-29 Flushing Strategy Options</t>
  </si>
  <si>
    <t>Toggle between 'Annual Pre-Sowing Flush', 'Year 1 Reclamation Only', 'Bi-Annual Flush (Every 2 Yrs)', 'Manual Flushing Input', or 'No Pre-Season Flushing' to model routine vs. one-off reclamation leaching according to FAO-29 guidelines.</t>
  </si>
  <si>
    <t>4. Smart Pioneer Crop Selection Advisor</t>
  </si>
  <si>
    <t>Features an interactive Pioneer Crop Advisor ranking candidate species by salinity tolerance spectrum (Extreme Halophytes, Pioneer Grains, Deep-Root Bio-Subsoilers) with live viability indicators.</t>
  </si>
  <si>
    <t>5. Executive Visual Dashboard</t>
  </si>
  <si>
    <t>Prominent visual line and column charts placed at the top of the dashboard, paired with a 10-year crop rotation action plan table, pioneer crop advisor, and executive summary.</t>
  </si>
  <si>
    <t>SOIL LABORATORY TEST DATA &amp; REGIONAL CLIMATE DATASETS</t>
  </si>
  <si>
    <t>1. SOIL PHYSICAL ANALYSIS &amp; FIELD CAPACITY ESTIMATION</t>
  </si>
  <si>
    <t>Soil Laboratory Test Results Available?</t>
  </si>
  <si>
    <t>Yes</t>
  </si>
  <si>
    <t>Option</t>
  </si>
  <si>
    <t>Select 'Yes' to use lab texture data, or 'No' for fallback default</t>
  </si>
  <si>
    <t>Sand Content (%)</t>
  </si>
  <si>
    <t>%</t>
  </si>
  <si>
    <t>Particle size 0.05 - 2.0 mm</t>
  </si>
  <si>
    <t>Silt Content (%)</t>
  </si>
  <si>
    <t>Particle size 0.002 - 0.05 mm</t>
  </si>
  <si>
    <t>Clay Content (%)</t>
  </si>
  <si>
    <t>Particle size &lt; 0.002 mm</t>
  </si>
  <si>
    <t>Soil Organic Matter (OM %)</t>
  </si>
  <si>
    <t>Organic matter content (increases FC water retention)</t>
  </si>
  <si>
    <t>Effective Crop Rootzone Depth D</t>
  </si>
  <si>
    <t>mm</t>
  </si>
  <si>
    <t>Total active rootzone soil depth (mm)</t>
  </si>
  <si>
    <t>USDA Derived Soil Texture Class</t>
  </si>
  <si>
    <t>Class</t>
  </si>
  <si>
    <t>Calculated USDA soil classification</t>
  </si>
  <si>
    <t>Estimated Moisture at Field Capacity (Wfc)</t>
  </si>
  <si>
    <t>Calculated rootzone water depth at field capacity</t>
  </si>
  <si>
    <t>Manual Field Capacity Override (if no lab data)</t>
  </si>
  <si>
    <t>Fallback value used if lab test is 'No'</t>
  </si>
  <si>
    <t>Active Rootzone Field Capacity (Wfc) Used in Model</t>
  </si>
  <si>
    <t>Linked directly into W&amp;S Balance Model sheet</t>
  </si>
  <si>
    <t>2. REGIONAL CLIMATE DATASETS &amp; FAO CLIMWAT PRESETS</t>
  </si>
  <si>
    <t>Climate Preset / Location</t>
  </si>
  <si>
    <t>Parameter</t>
  </si>
  <si>
    <t>Oct</t>
  </si>
  <si>
    <t>Nov</t>
  </si>
  <si>
    <t>Dec</t>
  </si>
  <si>
    <t>Jan</t>
  </si>
  <si>
    <t>Feb</t>
  </si>
  <si>
    <t>Mar</t>
  </si>
  <si>
    <t>Apr</t>
  </si>
  <si>
    <t>May</t>
  </si>
  <si>
    <t>Jun</t>
  </si>
  <si>
    <t>Jul</t>
  </si>
  <si>
    <t>Aug</t>
  </si>
  <si>
    <t>Sep</t>
  </si>
  <si>
    <t>Central Iraq (Baghdad)</t>
  </si>
  <si>
    <t>ETo (mm)</t>
  </si>
  <si>
    <t>P (mm)</t>
  </si>
  <si>
    <t>Southern Iraq (Basra)</t>
  </si>
  <si>
    <t>Northern Iraq (Erbil)</t>
  </si>
  <si>
    <t>UAE (Al Ain)</t>
  </si>
  <si>
    <t>Jordan Valley (Ghor)</t>
  </si>
  <si>
    <t>Custom Station Input</t>
  </si>
  <si>
    <t>CROP DATABASE &amp; SALINITY TOLERANCE PARAMETERS (FAO-56 &amp; Maas-Hoffman)</t>
  </si>
  <si>
    <t>Contains crop salinity threshold (ECe dS/m), yield loss slope (% per dS/m), yield loss salinity levels, default planting month, duration, and monthly crop factors (Kc).</t>
  </si>
  <si>
    <t>Threshold ECe (100% Yield)</t>
  </si>
  <si>
    <t>Slope (% per dS/m)</t>
  </si>
  <si>
    <t>ECe 90% Yield (10% Loss)</t>
  </si>
  <si>
    <t>ECe 75% Yield (25% Loss)</t>
  </si>
  <si>
    <t>ECe 50% Yield (50% Loss)</t>
  </si>
  <si>
    <t>EC_max (0% Yield)</t>
  </si>
  <si>
    <t>Default Planting Month</t>
  </si>
  <si>
    <t>Growth Duration (Months)</t>
  </si>
  <si>
    <t>Avg Kc</t>
  </si>
  <si>
    <t>Salt Tolerance Category (1-5)</t>
  </si>
  <si>
    <t>Salt Tolerance Group Name</t>
  </si>
  <si>
    <t>Water Use Category (1-5)</t>
  </si>
  <si>
    <t>Water Consumption Rating</t>
  </si>
  <si>
    <t>Halophyte Oilseed/Vegetable</t>
  </si>
  <si>
    <t>Perennial Fruit</t>
  </si>
  <si>
    <t>Fodder Grass</t>
  </si>
  <si>
    <t>Winter Grain / Pioneer Crop</t>
  </si>
  <si>
    <t>Cotton</t>
  </si>
  <si>
    <t>Summer Industrial</t>
  </si>
  <si>
    <t>Sugar Beet</t>
  </si>
  <si>
    <t>Winter Root Crop</t>
  </si>
  <si>
    <t>Triticale</t>
  </si>
  <si>
    <t>Winter Forage Grain</t>
  </si>
  <si>
    <t>Winter Grain</t>
  </si>
  <si>
    <t>Wheat</t>
  </si>
  <si>
    <t>Ryegrass</t>
  </si>
  <si>
    <t>Winter Fodder</t>
  </si>
  <si>
    <t>Zucchini / Squash</t>
  </si>
  <si>
    <t>Vegetable</t>
  </si>
  <si>
    <t>Spinach</t>
  </si>
  <si>
    <t>Leafy Vegetable</t>
  </si>
  <si>
    <t>Cucumber</t>
  </si>
  <si>
    <t>Eggplant (Aubergine)</t>
  </si>
  <si>
    <t>Tomato</t>
  </si>
  <si>
    <t>Cabbage</t>
  </si>
  <si>
    <t>Potato</t>
  </si>
  <si>
    <t>Root Vegetable</t>
  </si>
  <si>
    <t>Bell Pepper / Sweet Pepper</t>
  </si>
  <si>
    <t>Onion</t>
  </si>
  <si>
    <t>Bulb Vegetable</t>
  </si>
  <si>
    <t>Watermelon</t>
  </si>
  <si>
    <t>Fruit Vegetable</t>
  </si>
  <si>
    <t>Melon / Cantaloupe</t>
  </si>
  <si>
    <t>Carrot</t>
  </si>
  <si>
    <t>Lettuce</t>
  </si>
  <si>
    <t>Garlic</t>
  </si>
  <si>
    <t>Deep-Root Legume / Subsoiler</t>
  </si>
  <si>
    <t>Alfalfa</t>
  </si>
  <si>
    <t>Deep-Root Perennial Fodder / Subsoiler</t>
  </si>
  <si>
    <t>Strawberry</t>
  </si>
  <si>
    <t>IRAQ ROOTZONE WATER &amp; SALT BALANCE MODEL - DECISION SUPPORT DASHBOARD</t>
  </si>
  <si>
    <t>1. TARGET CROP &amp; SCENARIO CONTROLS</t>
  </si>
  <si>
    <t>2. MODEL INDICATORS &amp; PRECISION PROJECTIONS</t>
  </si>
  <si>
    <t>Target Crop</t>
  </si>
  <si>
    <t>Primary crop desired for ultimate cultivation</t>
  </si>
  <si>
    <t>Target Crop Yield Threshold</t>
  </si>
  <si>
    <t>dS/m</t>
  </si>
  <si>
    <t>Dynamic ECe threshold for chosen yield goal</t>
  </si>
  <si>
    <t>Target Yield Loss Tolerance</t>
  </si>
  <si>
    <t>100% Yield (0% Loss)</t>
  </si>
  <si>
    <t>Acceptable yield loss tolerance level</t>
  </si>
  <si>
    <t>Target Crop EC_max Limit</t>
  </si>
  <si>
    <t>ECe upper limit threshold (0% yield)</t>
  </si>
  <si>
    <t>Target Planting Month</t>
  </si>
  <si>
    <t>Month</t>
  </si>
  <si>
    <t>Selected month when crop cultivation begins</t>
  </si>
  <si>
    <t>Target Crop Suitability Now?</t>
  </si>
  <si>
    <t>Status</t>
  </si>
  <si>
    <t>Immediate viability in Year 1</t>
  </si>
  <si>
    <t>Recommended Optimal Planting Month</t>
  </si>
  <si>
    <t>FAO-56 lowest ETc demand planting month</t>
  </si>
  <si>
    <t>Estimated Target Planting Year</t>
  </si>
  <si>
    <t>Projection</t>
  </si>
  <si>
    <t>Calculated target planting feasibility year</t>
  </si>
  <si>
    <t>Interim / Pioneer Crop (if salty)</t>
  </si>
  <si>
    <t>[Auto-Select / Recommended Pioneer Crop]</t>
  </si>
  <si>
    <t>Select specific crop or keep Auto-Select</t>
  </si>
  <si>
    <t>Active / Resolved Pioneer Crop</t>
  </si>
  <si>
    <t>Species</t>
  </si>
  <si>
    <t>Auto-selected or user-chosen pioneer species</t>
  </si>
  <si>
    <t>Active Climate Location</t>
  </si>
  <si>
    <t>FAO CLIMWAT weather preset choice</t>
  </si>
  <si>
    <t>Pioneer Crop Classification Rating</t>
  </si>
  <si>
    <t>Rating</t>
  </si>
  <si>
    <t>5-category salt tolerance &amp; water use ratings</t>
  </si>
  <si>
    <t>Irrigation Strategy Mode</t>
  </si>
  <si>
    <t>Toggle Advisory vs. Manual Schedule</t>
  </si>
  <si>
    <t>Crop Drought Risk &amp; Yield Health Indicator</t>
  </si>
  <si>
    <t>Health</t>
  </si>
  <si>
    <t>Crop drought stress &amp; yield health status</t>
  </si>
  <si>
    <t>Rootzone Field Capacity (Wfc)</t>
  </si>
  <si>
    <t>Water depth at FC in rootzone (mm)</t>
  </si>
  <si>
    <t>Recommended Pre-Planting Flushing Volume</t>
  </si>
  <si>
    <t>FAO-29 pre-season leaching flush requirement</t>
  </si>
  <si>
    <t>Initial Soil Salinity ECe(start)</t>
  </si>
  <si>
    <t>Measured initial saturated extract salinity (dS/m)</t>
  </si>
  <si>
    <t>Required Seasonal Leaching Fraction (LF)</t>
  </si>
  <si>
    <t>Seasonal leaching fraction during growth</t>
  </si>
  <si>
    <t>Irrigation Water Salinity (ECi)</t>
  </si>
  <si>
    <t>Salinity of available irrigation water (dS/m)</t>
  </si>
  <si>
    <t>Total Annual Water Demand (Itot)</t>
  </si>
  <si>
    <t>mm/yr</t>
  </si>
  <si>
    <t>Annual sum of applied irrigation water</t>
  </si>
  <si>
    <t>Pre-Season Soil Flushing Strategy</t>
  </si>
  <si>
    <t>Flushing strategy mode selection</t>
  </si>
  <si>
    <t>Pre-Season Flushing Water Volume Applied</t>
  </si>
  <si>
    <t>Flushing volume added in Flushing Month</t>
  </si>
  <si>
    <t>Flushing Water Cap / Manual Depth</t>
  </si>
  <si>
    <t>Maximum depth allowed for pre-sowing flush (mm)</t>
  </si>
  <si>
    <t>Long-Term Soil Salinity (ECe,eq)</t>
  </si>
  <si>
    <t>Steady-state equilibrium soil salinity</t>
  </si>
  <si>
    <t>Pre-Season Soil Flushing Month</t>
  </si>
  <si>
    <t>Month in which pre-season flush is applied</t>
  </si>
  <si>
    <t>Recommended Flushing Month</t>
  </si>
  <si>
    <t>FAO-29 1 month prior to planting month</t>
  </si>
  <si>
    <t>3. MONTHLY ROOTZONE WATER BALANCE SCHEDULE &amp; IRRIGATION CALCULATIONS</t>
  </si>
  <si>
    <t>Variable / Component</t>
  </si>
  <si>
    <t>Unit</t>
  </si>
  <si>
    <t>Annual Total</t>
  </si>
  <si>
    <t>Formula / Source</t>
  </si>
  <si>
    <t>Name</t>
  </si>
  <si>
    <t>-</t>
  </si>
  <si>
    <t>Selected target or resolved pioneer crop</t>
  </si>
  <si>
    <t>ETo (Reference Evapotranspiration)</t>
  </si>
  <si>
    <t>Pulled from Climate Data sheet</t>
  </si>
  <si>
    <t>Kc (Crop Coefficient)</t>
  </si>
  <si>
    <t>factor</t>
  </si>
  <si>
    <t>Shifted dynamically by Planting Month B7</t>
  </si>
  <si>
    <t>ETc (Crop Evapotranspiration Demand)</t>
  </si>
  <si>
    <t>ETc = ETo * Kc</t>
  </si>
  <si>
    <t>Effective Rainfall (P)</t>
  </si>
  <si>
    <t>Net Water Deficit (ETc - P)</t>
  </si>
  <si>
    <t>ETc - P</t>
  </si>
  <si>
    <t>Advisory Optimum Irrigation Need</t>
  </si>
  <si>
    <t>Calculated net water + LF requirement</t>
  </si>
  <si>
    <t>Manual Input Irrigation Schedule</t>
  </si>
  <si>
    <t>User override field testing</t>
  </si>
  <si>
    <t>Applied Irrigation Water (I)</t>
  </si>
  <si>
    <t>Selected based on Mode + Pre-Flushing</t>
  </si>
  <si>
    <t>Rootzone Moisture Change (dW)</t>
  </si>
  <si>
    <t>Moisture storage fluctuation</t>
  </si>
  <si>
    <t>Net Deep Percolation Leaching (R*)</t>
  </si>
  <si>
    <t>R* = MAX(0, I + P - ETc - dW)</t>
  </si>
  <si>
    <t>4. 10-YEAR SOIL SALINITY PROJECTION &amp; SALT BALANCE TRACKING (ILRI EQUATIONS)</t>
  </si>
  <si>
    <t>Year / Projection Horizon</t>
  </si>
  <si>
    <t>Salt &amp; Salinity Parameter</t>
  </si>
  <si>
    <t>Annual Avg / End</t>
  </si>
  <si>
    <t>Formula Definition</t>
  </si>
  <si>
    <t>Year 1 Projection</t>
  </si>
  <si>
    <t>Z1 (Start Salt Mass)</t>
  </si>
  <si>
    <t>ECmm</t>
  </si>
  <si>
    <t>dZ (Salt Mass Change)</t>
  </si>
  <si>
    <t>Z2 (End Salt Mass)</t>
  </si>
  <si>
    <t>ECe (Soil Extract Salinity)</t>
  </si>
  <si>
    <t>Year 2 Projection</t>
  </si>
  <si>
    <t>Year 3 Projection</t>
  </si>
  <si>
    <t>Year 4 Projection</t>
  </si>
  <si>
    <t>Year 5 Projection</t>
  </si>
  <si>
    <t>Year 6 Projection</t>
  </si>
  <si>
    <t>Year 7 Projection</t>
  </si>
  <si>
    <t>Year 8 Projection</t>
  </si>
  <si>
    <t>Year 9 Projection</t>
  </si>
  <si>
    <t>Year 10 Projection</t>
  </si>
  <si>
    <t>5. LONG-TERM STEADY-STATE SOIL SALINITY EQUILIBRIUM</t>
  </si>
  <si>
    <t>Equilibrium Parameter</t>
  </si>
  <si>
    <t>ILRI Equilibrium Formula</t>
  </si>
  <si>
    <t>Equilibrium Value</t>
  </si>
  <si>
    <t>Definition &amp; Explanation</t>
  </si>
  <si>
    <t>Equilibrium Annual Applied Water (I_eq)</t>
  </si>
  <si>
    <t>I_tot</t>
  </si>
  <si>
    <t>Steady-state annual irrigation volume</t>
  </si>
  <si>
    <t>Equilibrium Annual Deep Percolation (R*_eq)</t>
  </si>
  <si>
    <t>R*_tot</t>
  </si>
  <si>
    <t>Steady-state annual deep percolation leaching</t>
  </si>
  <si>
    <t>Equilibrium Soil Salt Storage (Z_eq)</t>
  </si>
  <si>
    <t>Z_eq = 2 * Wfc * ECe,eq</t>
  </si>
  <si>
    <t>Total salt storage in rootzone at equilibrium</t>
  </si>
  <si>
    <t>Equilibrium Soil Extract Salinity (ECe,eq)</t>
  </si>
  <si>
    <t>ECe,eq = (I_tot * ECi) / (2 * R*_tot)</t>
  </si>
  <si>
    <t>Final asymptotic soil salinity stabilization level</t>
  </si>
  <si>
    <t>Plant &amp; Soil Focused: Crop Demand + Leaching Fraction (Optimal)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</si>
</sst>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1"/>
      <color theme="1"/>
      <name val="Calibri"/>
      <family val="2"/>
      <scheme val="minor"/>
    </font>
    <font>
      <b/>
      <sz val="16"/>
      <color rgb="FFFFFFFF"/>
      <name val="Calibri"/>
    </font>
    <font>
      <b/>
      <sz val="9"/>
      <color rgb="FF595959"/>
      <name val="Calibri"/>
    </font>
    <font>
      <b/>
      <sz val="13"/>
      <color rgb="FF1F497D"/>
      <name val="Calibri"/>
    </font>
    <font>
      <i/>
      <sz val="9"/>
      <color rgb="FF595959"/>
      <name val="Calibri"/>
    </font>
    <font>
      <b/>
      <sz val="11"/>
      <color rgb="FFFFFFFF"/>
      <name val="Calibri"/>
    </font>
    <font>
      <b/>
      <sz val="10"/>
      <color rgb="FF1F497D"/>
      <name val="Calibri"/>
    </font>
    <font>
      <b/>
      <sz val="10"/>
      <color rgb="FF000000"/>
      <name val="Calibri"/>
    </font>
    <font>
      <sz val="10"/>
      <color rgb="FF000000"/>
      <name val="Calibri"/>
    </font>
    <font>
      <b/>
      <sz val="10"/>
      <color rgb="FF000000"/>
      <name val="Calibri"/>
      <family val="2"/>
    </font>
    <font>
      <b/>
      <sz val="10"/>
      <color rgb="FF1F497D"/>
      <name val="Calibri"/>
      <family val="2"/>
    </font>
  </fonts>
  <fills count="8">
    <fill>
      <patternFill patternType="none"/>
    </fill>
    <fill>
      <patternFill patternType="gray125"/>
    </fill>
    <fill>
      <patternFill patternType="solid">
        <fgColor rgb="FF1F497D"/>
        <bgColor rgb="FF1F497D"/>
      </patternFill>
    </fill>
    <fill>
      <patternFill patternType="solid">
        <fgColor rgb="FFF2F4F8"/>
        <bgColor rgb="FFF2F4F8"/>
      </patternFill>
    </fill>
    <fill>
      <patternFill patternType="solid">
        <fgColor rgb="FF2F5597"/>
        <bgColor rgb="FF2F5597"/>
      </patternFill>
    </fill>
    <fill>
      <patternFill patternType="solid">
        <fgColor rgb="FFD9E1F2"/>
        <bgColor rgb="FFD9E1F2"/>
      </patternFill>
    </fill>
    <fill>
      <patternFill patternType="solid">
        <fgColor rgb="FFFFF2CC"/>
        <bgColor rgb="FFFFF2CC"/>
      </patternFill>
    </fill>
    <fill>
      <patternFill patternType="solid">
        <fgColor rgb="FF92D050"/>
        <bgColor indexed="64"/>
      </patternFill>
    </fill>
  </fills>
  <borders count="1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double">
        <color rgb="FF1F497D"/>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78">
    <xf numFmtId="0" fontId="0" fillId="0" borderId="0" xfId="0"/>
    <xf numFmtId="0" fontId="6" fillId="5"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164" fontId="8" fillId="0" borderId="1" xfId="0" applyNumberFormat="1" applyFont="1" applyBorder="1" applyAlignment="1">
      <alignment horizontal="right" vertical="center"/>
    </xf>
    <xf numFmtId="164" fontId="7"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7" fillId="0" borderId="0" xfId="0" applyFont="1"/>
    <xf numFmtId="0" fontId="7" fillId="6" borderId="1" xfId="0" applyFont="1" applyFill="1" applyBorder="1" applyAlignment="1">
      <alignment horizontal="center" vertical="center"/>
    </xf>
    <xf numFmtId="0" fontId="4" fillId="0" borderId="1" xfId="0" applyFont="1" applyBorder="1" applyAlignment="1">
      <alignment horizontal="center" vertical="center"/>
    </xf>
    <xf numFmtId="164" fontId="7" fillId="6" borderId="1" xfId="0" applyNumberFormat="1" applyFont="1" applyFill="1" applyBorder="1" applyAlignment="1">
      <alignment horizontal="center" vertical="center"/>
    </xf>
    <xf numFmtId="3" fontId="7" fillId="6" borderId="1" xfId="0" applyNumberFormat="1" applyFont="1" applyFill="1" applyBorder="1" applyAlignment="1">
      <alignment horizontal="center" vertical="center"/>
    </xf>
    <xf numFmtId="3" fontId="7" fillId="0" borderId="1" xfId="0" applyNumberFormat="1" applyFont="1" applyBorder="1" applyAlignment="1">
      <alignment horizontal="center" vertical="center"/>
    </xf>
    <xf numFmtId="0" fontId="7" fillId="6" borderId="1" xfId="0" applyFont="1" applyFill="1" applyBorder="1" applyAlignment="1">
      <alignment horizontal="left" vertical="center"/>
    </xf>
    <xf numFmtId="0" fontId="4" fillId="6" borderId="1" xfId="0" applyFont="1" applyFill="1" applyBorder="1" applyAlignment="1">
      <alignment horizontal="center" vertical="center"/>
    </xf>
    <xf numFmtId="3" fontId="8" fillId="6" borderId="1" xfId="0" applyNumberFormat="1" applyFont="1" applyFill="1" applyBorder="1" applyAlignment="1">
      <alignment horizontal="right" vertical="center"/>
    </xf>
    <xf numFmtId="2" fontId="8" fillId="0" borderId="1" xfId="0" applyNumberFormat="1" applyFont="1" applyBorder="1" applyAlignment="1">
      <alignment horizontal="right" vertical="center"/>
    </xf>
    <xf numFmtId="0" fontId="0" fillId="0" borderId="0" xfId="0" applyAlignment="1">
      <alignment wrapText="1"/>
    </xf>
    <xf numFmtId="0" fontId="7" fillId="0" borderId="1" xfId="0" applyFont="1" applyBorder="1" applyAlignment="1">
      <alignment horizontal="left" vertical="center" wrapText="1"/>
    </xf>
    <xf numFmtId="0" fontId="7"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7" fillId="3" borderId="1" xfId="0" applyNumberFormat="1" applyFont="1" applyFill="1" applyBorder="1" applyAlignment="1">
      <alignment horizontal="center" vertical="center" wrapText="1"/>
    </xf>
    <xf numFmtId="164" fontId="7" fillId="6" borderId="1" xfId="0" applyNumberFormat="1"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0" borderId="1" xfId="0" applyFont="1" applyBorder="1" applyAlignment="1">
      <alignment horizontal="right"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3" fontId="7" fillId="0" borderId="1" xfId="0" applyNumberFormat="1" applyFont="1" applyBorder="1" applyAlignment="1">
      <alignment horizontal="right" vertical="center" wrapText="1"/>
    </xf>
    <xf numFmtId="3" fontId="8" fillId="0" borderId="1" xfId="0" applyNumberFormat="1" applyFont="1" applyBorder="1" applyAlignment="1">
      <alignment horizontal="right" vertical="center" wrapText="1"/>
    </xf>
    <xf numFmtId="2" fontId="7" fillId="0" borderId="1" xfId="0" applyNumberFormat="1" applyFont="1" applyBorder="1" applyAlignment="1">
      <alignment horizontal="right" vertical="center" wrapText="1"/>
    </xf>
    <xf numFmtId="2" fontId="8" fillId="0" borderId="1" xfId="0" applyNumberFormat="1" applyFont="1" applyBorder="1" applyAlignment="1">
      <alignment horizontal="right" vertical="center" wrapText="1"/>
    </xf>
    <xf numFmtId="3" fontId="7" fillId="0" borderId="2" xfId="0" applyNumberFormat="1" applyFont="1" applyBorder="1" applyAlignment="1">
      <alignment horizontal="right" vertical="center" wrapText="1"/>
    </xf>
    <xf numFmtId="3" fontId="8" fillId="3" borderId="1" xfId="0" applyNumberFormat="1" applyFont="1" applyFill="1" applyBorder="1" applyAlignment="1">
      <alignment horizontal="right" vertical="center" wrapText="1"/>
    </xf>
    <xf numFmtId="3" fontId="8" fillId="6" borderId="1" xfId="0" applyNumberFormat="1" applyFont="1" applyFill="1" applyBorder="1" applyAlignment="1">
      <alignment horizontal="right" vertical="center" wrapText="1"/>
    </xf>
    <xf numFmtId="3" fontId="7" fillId="3" borderId="2" xfId="0" applyNumberFormat="1" applyFont="1" applyFill="1" applyBorder="1" applyAlignment="1">
      <alignment horizontal="right" vertical="center" wrapText="1"/>
    </xf>
    <xf numFmtId="164" fontId="7" fillId="0" borderId="1" xfId="0" applyNumberFormat="1" applyFont="1" applyBorder="1" applyAlignment="1">
      <alignment horizontal="right" vertical="center" wrapText="1"/>
    </xf>
    <xf numFmtId="164" fontId="7" fillId="3" borderId="1" xfId="0" applyNumberFormat="1" applyFont="1" applyFill="1" applyBorder="1" applyAlignment="1">
      <alignment horizontal="right" vertical="center" wrapText="1"/>
    </xf>
    <xf numFmtId="3" fontId="7" fillId="3" borderId="1" xfId="0" applyNumberFormat="1" applyFont="1" applyFill="1" applyBorder="1" applyAlignment="1">
      <alignment horizontal="right" vertical="center" wrapText="1"/>
    </xf>
    <xf numFmtId="0" fontId="9" fillId="7" borderId="1" xfId="0" applyFont="1" applyFill="1" applyBorder="1" applyAlignment="1">
      <alignment horizontal="left" vertical="center"/>
    </xf>
    <xf numFmtId="0" fontId="10" fillId="5" borderId="1" xfId="0" applyFont="1" applyFill="1" applyBorder="1" applyAlignment="1">
      <alignment horizontal="center" vertical="center"/>
    </xf>
    <xf numFmtId="0" fontId="5" fillId="4" borderId="0" xfId="0" applyFont="1" applyFill="1" applyAlignment="1">
      <alignment horizontal="left" vertical="center"/>
    </xf>
    <xf numFmtId="0" fontId="0" fillId="0" borderId="0" xfId="0"/>
    <xf numFmtId="0" fontId="2" fillId="3" borderId="1" xfId="0" applyFont="1" applyFill="1" applyBorder="1" applyAlignment="1">
      <alignment horizontal="center" vertical="center"/>
    </xf>
    <xf numFmtId="0" fontId="0" fillId="0" borderId="5" xfId="0" applyBorder="1"/>
    <xf numFmtId="0" fontId="0" fillId="0" borderId="6" xfId="0"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0" borderId="1" xfId="0" applyFont="1" applyBorder="1" applyAlignment="1">
      <alignment horizontal="left" vertical="center"/>
    </xf>
    <xf numFmtId="0" fontId="6" fillId="5"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2" borderId="0" xfId="0" applyFont="1" applyFill="1" applyAlignment="1">
      <alignment horizontal="center" vertical="center"/>
    </xf>
    <xf numFmtId="0" fontId="4" fillId="0" borderId="1" xfId="0" applyFont="1" applyBorder="1" applyAlignment="1">
      <alignment horizontal="left" vertical="center"/>
    </xf>
    <xf numFmtId="0" fontId="5" fillId="4" borderId="0" xfId="0" applyFont="1" applyFill="1" applyAlignment="1">
      <alignment horizontal="left" vertical="center" wrapText="1"/>
    </xf>
    <xf numFmtId="0" fontId="0" fillId="0" borderId="0" xfId="0" applyAlignment="1">
      <alignment wrapText="1"/>
    </xf>
    <xf numFmtId="0" fontId="7" fillId="3" borderId="1" xfId="0" applyFont="1" applyFill="1" applyBorder="1" applyAlignment="1">
      <alignment horizontal="center" vertical="center" wrapText="1"/>
    </xf>
    <xf numFmtId="0" fontId="0" fillId="0" borderId="12" xfId="0" applyBorder="1" applyAlignment="1">
      <alignment wrapText="1"/>
    </xf>
    <xf numFmtId="0" fontId="0" fillId="0" borderId="13" xfId="0" applyBorder="1" applyAlignment="1">
      <alignment wrapText="1"/>
    </xf>
    <xf numFmtId="0" fontId="1" fillId="2" borderId="0" xfId="0" applyFont="1" applyFill="1" applyAlignment="1">
      <alignment horizontal="center" vertical="center" wrapText="1"/>
    </xf>
    <xf numFmtId="0" fontId="4" fillId="0" borderId="0" xfId="0" applyFont="1" applyAlignment="1">
      <alignment horizontal="left" vertical="center"/>
    </xf>
    <xf numFmtId="0" fontId="7" fillId="0" borderId="1" xfId="0" applyFont="1" applyBorder="1" applyAlignment="1">
      <alignment horizontal="center" vertical="center"/>
    </xf>
    <xf numFmtId="0" fontId="8" fillId="0" borderId="1" xfId="0" applyFont="1" applyBorder="1" applyAlignment="1">
      <alignment horizontal="left" vertical="center"/>
    </xf>
    <xf numFmtId="3" fontId="7" fillId="0" borderId="1" xfId="0" applyNumberFormat="1" applyFont="1" applyBorder="1" applyAlignment="1">
      <alignment horizontal="right" vertical="center"/>
    </xf>
    <xf numFmtId="0" fontId="8"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nl-NL"/>
              <a:t>10-Year Rootzone Soil Salinity Trajectory vs. Target Threshold (dS/m)</a:t>
            </a:r>
          </a:p>
        </c:rich>
      </c:tx>
      <c:overlay val="0"/>
    </c:title>
    <c:autoTitleDeleted val="0"/>
    <c:plotArea>
      <c:layout/>
      <c:lineChart>
        <c:grouping val="standard"/>
        <c:varyColors val="0"/>
        <c:ser>
          <c:idx val="0"/>
          <c:order val="0"/>
          <c:tx>
            <c:strRef>
              <c:f>'Executive Dashboard'!$D$26</c:f>
              <c:strCache>
                <c:ptCount val="1"/>
                <c:pt idx="0">
                  <c:v>Start Soil ECe (dS/m)</c:v>
                </c:pt>
              </c:strCache>
            </c:strRef>
          </c:tx>
          <c:spPr>
            <a:ln w="15000">
              <a:solidFill>
                <a:schemeClr val="accent3"/>
              </a:solidFill>
              <a:prstDash val="solid"/>
            </a:ln>
          </c:spPr>
          <c:marker>
            <c:symbol val="none"/>
          </c:marker>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Dashboard'!$D$27:$D$36</c:f>
              <c:numCache>
                <c:formatCode>0.0</c:formatCode>
                <c:ptCount val="10"/>
                <c:pt idx="0">
                  <c:v>9</c:v>
                </c:pt>
                <c:pt idx="1">
                  <c:v>7.6570214245698969</c:v>
                </c:pt>
                <c:pt idx="2">
                  <c:v>6.7396921549046693</c:v>
                </c:pt>
                <c:pt idx="3">
                  <c:v>6.1131051010382009</c:v>
                </c:pt>
                <c:pt idx="4">
                  <c:v>5.6851111962799417</c:v>
                </c:pt>
                <c:pt idx="5">
                  <c:v>5.3927674886021579</c:v>
                </c:pt>
                <c:pt idx="6">
                  <c:v>5.1930804312197312</c:v>
                </c:pt>
                <c:pt idx="7">
                  <c:v>5.056683033776844</c:v>
                </c:pt>
                <c:pt idx="8">
                  <c:v>4.9635160039599686</c:v>
                </c:pt>
                <c:pt idx="9">
                  <c:v>4.899877726341562</c:v>
                </c:pt>
              </c:numCache>
            </c:numRef>
          </c:val>
          <c:smooth val="0"/>
          <c:extLst>
            <c:ext xmlns:c16="http://schemas.microsoft.com/office/drawing/2014/chart" uri="{C3380CC4-5D6E-409C-BE32-E72D297353CC}">
              <c16:uniqueId val="{00000000-CBC5-41D5-BB37-7FD6970B2ED8}"/>
            </c:ext>
          </c:extLst>
        </c:ser>
        <c:ser>
          <c:idx val="1"/>
          <c:order val="1"/>
          <c:tx>
            <c:strRef>
              <c:f>'Executive Dashboard'!$E$26</c:f>
              <c:strCache>
                <c:ptCount val="1"/>
                <c:pt idx="0">
                  <c:v>Annual Avg Soil ECe (dS/m)</c:v>
                </c:pt>
              </c:strCache>
            </c:strRef>
          </c:tx>
          <c:spPr>
            <a:ln w="30000">
              <a:solidFill>
                <a:srgbClr val="ED7D31"/>
              </a:solidFill>
              <a:prstDash val="solid"/>
            </a:ln>
          </c:spPr>
          <c:marker>
            <c:symbol val="none"/>
          </c:marker>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Dashboard'!$E$27:$E$36</c:f>
              <c:numCache>
                <c:formatCode>0.0</c:formatCode>
                <c:ptCount val="10"/>
                <c:pt idx="0">
                  <c:v>8.2797724521860001</c:v>
                </c:pt>
                <c:pt idx="1">
                  <c:v>7.2343950800064789</c:v>
                </c:pt>
                <c:pt idx="2">
                  <c:v>6.5203440304289586</c:v>
                </c:pt>
                <c:pt idx="3">
                  <c:v>6.0326073384248744</c:v>
                </c:pt>
                <c:pt idx="4">
                  <c:v>5.6994559749924747</c:v>
                </c:pt>
                <c:pt idx="5">
                  <c:v>5.4718950127429151</c:v>
                </c:pt>
                <c:pt idx="6">
                  <c:v>5.3164581836499059</c:v>
                </c:pt>
                <c:pt idx="7">
                  <c:v>5.210286160119816</c:v>
                </c:pt>
                <c:pt idx="8">
                  <c:v>5.1377647464609693</c:v>
                </c:pt>
                <c:pt idx="9">
                  <c:v>5.0882285761572428</c:v>
                </c:pt>
              </c:numCache>
            </c:numRef>
          </c:val>
          <c:smooth val="0"/>
          <c:extLst>
            <c:ext xmlns:c16="http://schemas.microsoft.com/office/drawing/2014/chart" uri="{C3380CC4-5D6E-409C-BE32-E72D297353CC}">
              <c16:uniqueId val="{00000001-CBC5-41D5-BB37-7FD6970B2ED8}"/>
            </c:ext>
          </c:extLst>
        </c:ser>
        <c:ser>
          <c:idx val="2"/>
          <c:order val="2"/>
          <c:tx>
            <c:strRef>
              <c:f>'Executive Dashboard'!$F$26</c:f>
              <c:strCache>
                <c:ptCount val="1"/>
                <c:pt idx="0">
                  <c:v>End Soil ECe (dS/m)</c:v>
                </c:pt>
              </c:strCache>
            </c:strRef>
          </c:tx>
          <c:spPr>
            <a:ln w="20000">
              <a:solidFill>
                <a:srgbClr val="1F497D"/>
              </a:solidFill>
              <a:prstDash val="solid"/>
            </a:ln>
          </c:spPr>
          <c:marker>
            <c:symbol val="none"/>
          </c:marker>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Dashboard'!$F$27:$F$36</c:f>
              <c:numCache>
                <c:formatCode>0.0</c:formatCode>
                <c:ptCount val="10"/>
                <c:pt idx="0">
                  <c:v>7.6570214245698969</c:v>
                </c:pt>
                <c:pt idx="1">
                  <c:v>6.7396921549046693</c:v>
                </c:pt>
                <c:pt idx="2">
                  <c:v>6.1131051010382009</c:v>
                </c:pt>
                <c:pt idx="3">
                  <c:v>5.6851111962799417</c:v>
                </c:pt>
                <c:pt idx="4">
                  <c:v>5.3927674886021579</c:v>
                </c:pt>
                <c:pt idx="5">
                  <c:v>5.1930804312197312</c:v>
                </c:pt>
                <c:pt idx="6">
                  <c:v>5.056683033776844</c:v>
                </c:pt>
                <c:pt idx="7">
                  <c:v>4.9635160039599686</c:v>
                </c:pt>
                <c:pt idx="8">
                  <c:v>4.899877726341562</c:v>
                </c:pt>
                <c:pt idx="9">
                  <c:v>4.8564092333972511</c:v>
                </c:pt>
              </c:numCache>
            </c:numRef>
          </c:val>
          <c:smooth val="0"/>
          <c:extLst>
            <c:ext xmlns:c16="http://schemas.microsoft.com/office/drawing/2014/chart" uri="{C3380CC4-5D6E-409C-BE32-E72D297353CC}">
              <c16:uniqueId val="{00000002-CBC5-41D5-BB37-7FD6970B2ED8}"/>
            </c:ext>
          </c:extLst>
        </c:ser>
        <c:ser>
          <c:idx val="3"/>
          <c:order val="3"/>
          <c:tx>
            <c:strRef>
              <c:f>'Executive Dashboard'!$J$26</c:f>
              <c:strCache>
                <c:ptCount val="1"/>
                <c:pt idx="0">
                  <c:v>Target Threshold (dS/m)</c:v>
                </c:pt>
              </c:strCache>
            </c:strRef>
          </c:tx>
          <c:spPr>
            <a:ln w="20000">
              <a:solidFill>
                <a:srgbClr val="C00000"/>
              </a:solidFill>
              <a:prstDash val="dash"/>
            </a:ln>
          </c:spPr>
          <c:marker>
            <c:symbol val="none"/>
          </c:marker>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Dashboard'!$J$27:$J$36</c:f>
              <c:numCache>
                <c:formatCode>0.0</c:formatCode>
                <c:ptCount val="10"/>
                <c:pt idx="0">
                  <c:v>8</c:v>
                </c:pt>
                <c:pt idx="1">
                  <c:v>8</c:v>
                </c:pt>
                <c:pt idx="2">
                  <c:v>8</c:v>
                </c:pt>
                <c:pt idx="3">
                  <c:v>8</c:v>
                </c:pt>
                <c:pt idx="4">
                  <c:v>8</c:v>
                </c:pt>
                <c:pt idx="5">
                  <c:v>8</c:v>
                </c:pt>
                <c:pt idx="6">
                  <c:v>8</c:v>
                </c:pt>
                <c:pt idx="7">
                  <c:v>8</c:v>
                </c:pt>
                <c:pt idx="8">
                  <c:v>8</c:v>
                </c:pt>
                <c:pt idx="9">
                  <c:v>8</c:v>
                </c:pt>
              </c:numCache>
            </c:numRef>
          </c:val>
          <c:smooth val="0"/>
          <c:extLst>
            <c:ext xmlns:c16="http://schemas.microsoft.com/office/drawing/2014/chart" uri="{C3380CC4-5D6E-409C-BE32-E72D297353CC}">
              <c16:uniqueId val="{00000003-CBC5-41D5-BB37-7FD6970B2ED8}"/>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nl-NL"/>
                  <a:t>Projection Horizon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nl-NL"/>
                  <a:t>Soil Salinity ECe (dS/m)</a:t>
                </a:r>
              </a:p>
            </c:rich>
          </c:tx>
          <c:overlay val="0"/>
        </c:title>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nl-NL"/>
              <a:t>10-Year Water Demand &amp; Pre-Season Flushing Schedule (mm/yr)</a:t>
            </a:r>
          </a:p>
        </c:rich>
      </c:tx>
      <c:overlay val="0"/>
    </c:title>
    <c:autoTitleDeleted val="0"/>
    <c:plotArea>
      <c:layout/>
      <c:barChart>
        <c:barDir val="col"/>
        <c:grouping val="clustered"/>
        <c:varyColors val="0"/>
        <c:ser>
          <c:idx val="0"/>
          <c:order val="0"/>
          <c:tx>
            <c:strRef>
              <c:f>'Executive Dashboard'!$G$26</c:f>
              <c:strCache>
                <c:ptCount val="1"/>
                <c:pt idx="0">
                  <c:v>Pre-Season Flush (mm)</c:v>
                </c:pt>
              </c:strCache>
            </c:strRef>
          </c:tx>
          <c:spPr>
            <a:solidFill>
              <a:srgbClr val="00A88F"/>
            </a:solidFill>
            <a:ln>
              <a:prstDash val="solid"/>
            </a:ln>
          </c:spPr>
          <c:invertIfNegative val="0"/>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Dashboard'!$G$27:$G$36</c:f>
              <c:numCache>
                <c:formatCode>#,##0</c:formatCode>
                <c:ptCount val="10"/>
                <c:pt idx="0">
                  <c:v>11</c:v>
                </c:pt>
                <c:pt idx="1">
                  <c:v>200</c:v>
                </c:pt>
                <c:pt idx="2">
                  <c:v>200</c:v>
                </c:pt>
                <c:pt idx="3">
                  <c:v>200</c:v>
                </c:pt>
                <c:pt idx="4">
                  <c:v>200</c:v>
                </c:pt>
                <c:pt idx="5">
                  <c:v>200</c:v>
                </c:pt>
                <c:pt idx="6">
                  <c:v>200</c:v>
                </c:pt>
                <c:pt idx="7">
                  <c:v>200</c:v>
                </c:pt>
                <c:pt idx="8">
                  <c:v>200</c:v>
                </c:pt>
                <c:pt idx="9">
                  <c:v>200</c:v>
                </c:pt>
              </c:numCache>
            </c:numRef>
          </c:val>
          <c:extLst>
            <c:ext xmlns:c16="http://schemas.microsoft.com/office/drawing/2014/chart" uri="{C3380CC4-5D6E-409C-BE32-E72D297353CC}">
              <c16:uniqueId val="{00000000-D877-4CCB-B36E-20B1177A6DFF}"/>
            </c:ext>
          </c:extLst>
        </c:ser>
        <c:ser>
          <c:idx val="1"/>
          <c:order val="1"/>
          <c:tx>
            <c:strRef>
              <c:f>'Executive Dashboard'!$I$26</c:f>
              <c:strCache>
                <c:ptCount val="1"/>
                <c:pt idx="0">
                  <c:v>Total Water Demand (mm/yr)</c:v>
                </c:pt>
              </c:strCache>
            </c:strRef>
          </c:tx>
          <c:spPr>
            <a:solidFill>
              <a:srgbClr val="2F5597"/>
            </a:solidFill>
            <a:ln>
              <a:prstDash val="solid"/>
            </a:ln>
          </c:spPr>
          <c:invertIfNegative val="0"/>
          <c:cat>
            <c:strRef>
              <c:f>'Executive Dashboard'!$A$27:$A$36</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'Executive Dashboard'!$I$27:$I$36</c:f>
              <c:numCache>
                <c:formatCode>#,##0</c:formatCode>
                <c:ptCount val="10"/>
                <c:pt idx="0">
                  <c:v>711</c:v>
                </c:pt>
                <c:pt idx="1">
                  <c:v>711</c:v>
                </c:pt>
                <c:pt idx="2">
                  <c:v>711</c:v>
                </c:pt>
                <c:pt idx="3">
                  <c:v>711</c:v>
                </c:pt>
                <c:pt idx="4">
                  <c:v>711</c:v>
                </c:pt>
                <c:pt idx="5">
                  <c:v>711</c:v>
                </c:pt>
                <c:pt idx="6">
                  <c:v>711</c:v>
                </c:pt>
                <c:pt idx="7">
                  <c:v>711</c:v>
                </c:pt>
                <c:pt idx="8">
                  <c:v>711</c:v>
                </c:pt>
                <c:pt idx="9">
                  <c:v>711</c:v>
                </c:pt>
              </c:numCache>
            </c:numRef>
          </c:val>
          <c:extLst>
            <c:ext xmlns:c16="http://schemas.microsoft.com/office/drawing/2014/chart" uri="{C3380CC4-5D6E-409C-BE32-E72D297353CC}">
              <c16:uniqueId val="{00000001-D877-4CCB-B36E-20B1177A6DF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nl-NL"/>
                  <a:t>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nl-NL"/>
                  <a:t>Water Depth (mm)</a:t>
                </a:r>
              </a:p>
            </c:rich>
          </c:tx>
          <c:overlay val="0"/>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0</xdr:rowOff>
    </xdr:from>
    <xdr:ext cx="7715250" cy="30765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7</xdr:row>
      <xdr:rowOff>0</xdr:rowOff>
    </xdr:from>
    <xdr:ext cx="6896100" cy="30765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zoomScaleNormal="100" workbookViewId="0">
      <selection activeCell="O15" sqref="O15"/>
    </sheetView>
  </sheetViews>
  <sheetFormatPr defaultRowHeight="14.4" x14ac:dyDescent="0.3"/>
  <cols>
    <col min="1" max="1" width="10" customWidth="1"/>
    <col min="2" max="2" width="24" customWidth="1"/>
    <col min="3" max="3" width="10" customWidth="1"/>
    <col min="4" max="7" width="18" customWidth="1"/>
    <col min="8" max="8" width="16" customWidth="1"/>
    <col min="9" max="9" width="20" customWidth="1"/>
    <col min="10" max="10" width="18" customWidth="1"/>
    <col min="11" max="11" width="32" customWidth="1"/>
    <col min="12" max="14" width="12" customWidth="1"/>
  </cols>
  <sheetData>
    <row r="1" spans="1:14" ht="40.200000000000003" customHeight="1" x14ac:dyDescent="0.3">
      <c r="A1" s="65" t="s">
        <v>0</v>
      </c>
      <c r="B1" s="49"/>
      <c r="C1" s="49"/>
      <c r="D1" s="49"/>
      <c r="E1" s="49"/>
      <c r="F1" s="49"/>
      <c r="G1" s="49"/>
      <c r="H1" s="49"/>
      <c r="I1" s="49"/>
      <c r="J1" s="49"/>
      <c r="K1" s="49"/>
      <c r="L1" s="49"/>
      <c r="M1" s="49"/>
      <c r="N1" s="49"/>
    </row>
    <row r="3" spans="1:14" ht="18" customHeight="1" x14ac:dyDescent="0.3">
      <c r="A3" s="50" t="s">
        <v>1</v>
      </c>
      <c r="B3" s="51"/>
      <c r="C3" s="52"/>
      <c r="D3" s="50" t="s">
        <v>2</v>
      </c>
      <c r="E3" s="51"/>
      <c r="F3" s="52"/>
      <c r="G3" s="50" t="s">
        <v>3</v>
      </c>
      <c r="H3" s="51"/>
      <c r="I3" s="52"/>
      <c r="J3" s="50" t="s">
        <v>4</v>
      </c>
      <c r="K3" s="51"/>
      <c r="L3" s="52"/>
      <c r="M3" s="50" t="s">
        <v>5</v>
      </c>
      <c r="N3" s="52"/>
    </row>
    <row r="4" spans="1:14" ht="28.2" customHeight="1" x14ac:dyDescent="0.3">
      <c r="A4" s="53" t="str">
        <f>'Soil &amp; Climate Inputs'!$C$11</f>
        <v>Clay Loam</v>
      </c>
      <c r="B4" s="51"/>
      <c r="C4" s="52"/>
      <c r="D4" s="53" t="str">
        <f>'W&amp;S Balance Model'!$B$5 &amp; " (" &amp; 'W&amp;S Balance Model'!$B$6 &amp; ")"</f>
        <v>Barley (100% Yield (0% Loss))</v>
      </c>
      <c r="E4" s="51"/>
      <c r="F4" s="52"/>
      <c r="G4" s="53" t="str">
        <f>'W&amp;S Balance Model'!$F$8</f>
        <v>Year 2</v>
      </c>
      <c r="H4" s="51"/>
      <c r="I4" s="52"/>
      <c r="J4" s="53" t="str">
        <f>IF('W&amp;S Balance Model'!$B$9="[Auto-Select / Recommended Pioneer Crop]", "Auto: " &amp; 'W&amp;S Balance Model'!$F$9, 'W&amp;S Balance Model'!$B$9)</f>
        <v>Auto: Barley</v>
      </c>
      <c r="K4" s="51"/>
      <c r="L4" s="52"/>
      <c r="M4" s="53" t="str">
        <f>IF(ISNUMBER('W&amp;S Balance Model'!$F$16), TEXT('W&amp;S Balance Model'!$F$16, "0.0") &amp; " dS/m", 'W&amp;S Balance Model'!$F$16)</f>
        <v>05 dS/m</v>
      </c>
      <c r="N4" s="52"/>
    </row>
    <row r="5" spans="1:14" ht="18" customHeight="1" x14ac:dyDescent="0.3">
      <c r="A5" s="54" t="str">
        <f>"Wfc: " &amp; TEXT('W&amp;S Balance Model'!$B$12, "#,##0") &amp; " mm | Start ECe: " &amp; TEXT('W&amp;S Balance Model'!$B$13, "0.0") &amp; " dS/m"</f>
        <v>Wfc: 373,0 mm | Start ECe: 09 dS/m</v>
      </c>
      <c r="B5" s="51"/>
      <c r="C5" s="52"/>
      <c r="D5" s="54" t="str">
        <f>'W&amp;S Balance Model'!$F$7</f>
        <v>RESTRICTED (Yield Loss)</v>
      </c>
      <c r="E5" s="51"/>
      <c r="F5" s="52"/>
      <c r="G5" s="54" t="s">
        <v>6</v>
      </c>
      <c r="H5" s="51"/>
      <c r="I5" s="52"/>
      <c r="J5" s="54" t="str">
        <f>'W&amp;S Balance Model'!$F$10</f>
        <v>Salt: Cat 2: High Salinity Tolerant | Water: Cat 3: Moderate Water Use</v>
      </c>
      <c r="K5" s="51"/>
      <c r="L5" s="52"/>
      <c r="M5" s="54" t="str">
        <f>IF('W&amp;S Balance Model'!$F$16&lt;='W&amp;S Balance Model'!$F$5, "Equilibrium &lt;= Target Threshold", "Warning: ECe,eq &gt; Target Threshold")</f>
        <v>Equilibrium &lt;= Target Threshold</v>
      </c>
      <c r="N5" s="52"/>
    </row>
    <row r="7" spans="1:14" ht="22.2" customHeight="1" x14ac:dyDescent="0.3">
      <c r="A7" s="48" t="s">
        <v>7</v>
      </c>
      <c r="B7" s="49"/>
      <c r="C7" s="49"/>
      <c r="D7" s="49"/>
      <c r="E7" s="49"/>
      <c r="F7" s="49"/>
      <c r="G7" s="49"/>
      <c r="H7" s="49"/>
      <c r="I7" s="49"/>
      <c r="J7" s="49"/>
      <c r="K7" s="49"/>
      <c r="L7" s="49"/>
      <c r="M7" s="49"/>
      <c r="N7" s="49"/>
    </row>
    <row r="25" spans="1:14" ht="22.2" customHeight="1" x14ac:dyDescent="0.3">
      <c r="A25" s="48" t="s">
        <v>8</v>
      </c>
      <c r="B25" s="49"/>
      <c r="C25" s="49"/>
      <c r="D25" s="49"/>
      <c r="E25" s="49"/>
      <c r="F25" s="49"/>
      <c r="G25" s="49"/>
      <c r="H25" s="49"/>
      <c r="I25" s="49"/>
      <c r="J25" s="49"/>
      <c r="K25" s="49"/>
      <c r="L25" s="49"/>
      <c r="M25" s="49"/>
      <c r="N25" s="49"/>
    </row>
    <row r="26" spans="1:14" ht="22.2" customHeight="1" x14ac:dyDescent="0.3">
      <c r="A26" s="1" t="s">
        <v>9</v>
      </c>
      <c r="B26" s="56" t="s">
        <v>10</v>
      </c>
      <c r="C26" s="52"/>
      <c r="D26" s="1" t="s">
        <v>11</v>
      </c>
      <c r="E26" s="1" t="s">
        <v>12</v>
      </c>
      <c r="F26" s="1" t="s">
        <v>13</v>
      </c>
      <c r="G26" s="1" t="s">
        <v>14</v>
      </c>
      <c r="H26" s="1" t="s">
        <v>15</v>
      </c>
      <c r="I26" s="1" t="s">
        <v>16</v>
      </c>
      <c r="J26" s="1" t="s">
        <v>17</v>
      </c>
      <c r="K26" s="56" t="s">
        <v>18</v>
      </c>
      <c r="L26" s="51"/>
      <c r="M26" s="51"/>
      <c r="N26" s="52"/>
    </row>
    <row r="27" spans="1:14" ht="19.95" customHeight="1" x14ac:dyDescent="0.3">
      <c r="A27" s="2" t="s">
        <v>19</v>
      </c>
      <c r="B27" s="55" t="str">
        <f>'W&amp;S Balance Model'!E21</f>
        <v>Barley</v>
      </c>
      <c r="C27" s="52"/>
      <c r="D27" s="4">
        <f>'W&amp;S Balance Model'!$B$13</f>
        <v>9</v>
      </c>
      <c r="E27" s="4">
        <f>'W&amp;S Balance Model'!D39</f>
        <v>8.2797724521860001</v>
      </c>
      <c r="F27" s="5">
        <f>'W&amp;S Balance Model'!P39</f>
        <v>7.6570214245698969</v>
      </c>
      <c r="G27" s="6">
        <f>'W&amp;S Balance Model'!$F$15</f>
        <v>11</v>
      </c>
      <c r="H27" s="7">
        <f>'W&amp;S Balance Model'!$F$13</f>
        <v>0.15</v>
      </c>
      <c r="I27" s="6">
        <f>'W&amp;S Balance Model'!$F$14</f>
        <v>711</v>
      </c>
      <c r="J27" s="4">
        <f>'W&amp;S Balance Model'!$F$5</f>
        <v>8</v>
      </c>
      <c r="K27" s="55" t="str">
        <f>IF(B27='W&amp;S Balance Model'!$B$5, "TARGET CROP VIABLE &amp; CULTIVATED (Optimal Production)", "RECLAMATION LEACHING IN PROGRESS WITH PIONEER CROP")</f>
        <v>TARGET CROP VIABLE &amp; CULTIVATED (Optimal Production)</v>
      </c>
      <c r="L27" s="51"/>
      <c r="M27" s="51"/>
      <c r="N27" s="52"/>
    </row>
    <row r="28" spans="1:14" ht="19.95" customHeight="1" x14ac:dyDescent="0.3">
      <c r="A28" s="2" t="s">
        <v>20</v>
      </c>
      <c r="B28" s="55" t="str">
        <f>IF(OR('W&amp;S Balance Model'!P39&lt;='W&amp;S Balance Model'!$F$5, B27='W&amp;S Balance Model'!$B$5), 'W&amp;S Balance Model'!$B$5, 'W&amp;S Balance Model'!$F$9)</f>
        <v>Barley</v>
      </c>
      <c r="C28" s="52"/>
      <c r="D28" s="4">
        <f>'W&amp;S Balance Model'!P39</f>
        <v>7.6570214245698969</v>
      </c>
      <c r="E28" s="4">
        <f>'W&amp;S Balance Model'!D45</f>
        <v>7.2343950800064789</v>
      </c>
      <c r="F28" s="5">
        <f>'W&amp;S Balance Model'!P45</f>
        <v>6.7396921549046693</v>
      </c>
      <c r="G28" s="6">
        <f>IF('W&amp;S Balance Model'!$B$15="Annual Pre-Sowing Flush", 'W&amp;S Balance Model'!$B$16, IF(AND('W&amp;S Balance Model'!$B$15="Year 1 Reclamation Only", 2=1), 'W&amp;S Balance Model'!$B$16, IF(AND('W&amp;S Balance Model'!$B$15="Bi-Annual Flush (Every 2 Yrs)", MOD(2,2)=1), 'W&amp;S Balance Model'!$B$16, IF(AND('W&amp;S Balance Model'!$B$15="Manual Flushing Input", 2=1), 'W&amp;S Balance Model'!$B$16, 0))))</f>
        <v>200</v>
      </c>
      <c r="H28" s="7">
        <f>'W&amp;S Balance Model'!$F$13</f>
        <v>0.15</v>
      </c>
      <c r="I28" s="6">
        <f>'W&amp;S Balance Model'!$F$14</f>
        <v>711</v>
      </c>
      <c r="J28" s="4">
        <f>'W&amp;S Balance Model'!$F$5</f>
        <v>8</v>
      </c>
      <c r="K28" s="55" t="str">
        <f>IF(B28='W&amp;S Balance Model'!$B$5, "TARGET CROP VIABLE &amp; CULTIVATED (Optimal Production)", "RECLAMATION LEACHING IN PROGRESS WITH PIONEER CROP")</f>
        <v>TARGET CROP VIABLE &amp; CULTIVATED (Optimal Production)</v>
      </c>
      <c r="L28" s="51"/>
      <c r="M28" s="51"/>
      <c r="N28" s="52"/>
    </row>
    <row r="29" spans="1:14" ht="19.95" customHeight="1" x14ac:dyDescent="0.3">
      <c r="A29" s="2" t="s">
        <v>21</v>
      </c>
      <c r="B29" s="55" t="str">
        <f>IF(OR('W&amp;S Balance Model'!P45&lt;='W&amp;S Balance Model'!$F$5, B28='W&amp;S Balance Model'!$B$5), 'W&amp;S Balance Model'!$B$5, 'W&amp;S Balance Model'!$F$9)</f>
        <v>Barley</v>
      </c>
      <c r="C29" s="52"/>
      <c r="D29" s="4">
        <f>'W&amp;S Balance Model'!P45</f>
        <v>6.7396921549046693</v>
      </c>
      <c r="E29" s="4">
        <f>'W&amp;S Balance Model'!D51</f>
        <v>6.5203440304289586</v>
      </c>
      <c r="F29" s="5">
        <f>'W&amp;S Balance Model'!P51</f>
        <v>6.1131051010382009</v>
      </c>
      <c r="G29" s="6">
        <f>IF('W&amp;S Balance Model'!$B$15="Annual Pre-Sowing Flush", 'W&amp;S Balance Model'!$B$16, IF(AND('W&amp;S Balance Model'!$B$15="Year 1 Reclamation Only", 3=1), 'W&amp;S Balance Model'!$B$16, IF(AND('W&amp;S Balance Model'!$B$15="Bi-Annual Flush (Every 2 Yrs)", MOD(3,2)=1), 'W&amp;S Balance Model'!$B$16, IF(AND('W&amp;S Balance Model'!$B$15="Manual Flushing Input", 3=1), 'W&amp;S Balance Model'!$B$16, 0))))</f>
        <v>200</v>
      </c>
      <c r="H29" s="7">
        <f>'W&amp;S Balance Model'!$F$13</f>
        <v>0.15</v>
      </c>
      <c r="I29" s="6">
        <f>'W&amp;S Balance Model'!$F$14</f>
        <v>711</v>
      </c>
      <c r="J29" s="4">
        <f>'W&amp;S Balance Model'!$F$5</f>
        <v>8</v>
      </c>
      <c r="K29" s="55" t="str">
        <f>IF(B29='W&amp;S Balance Model'!$B$5, "TARGET CROP VIABLE &amp; CULTIVATED (Optimal Production)", "RECLAMATION LEACHING IN PROGRESS WITH PIONEER CROP")</f>
        <v>TARGET CROP VIABLE &amp; CULTIVATED (Optimal Production)</v>
      </c>
      <c r="L29" s="51"/>
      <c r="M29" s="51"/>
      <c r="N29" s="52"/>
    </row>
    <row r="30" spans="1:14" ht="19.95" customHeight="1" x14ac:dyDescent="0.3">
      <c r="A30" s="2" t="s">
        <v>22</v>
      </c>
      <c r="B30" s="55" t="str">
        <f>IF(OR('W&amp;S Balance Model'!P51&lt;='W&amp;S Balance Model'!$F$5, B29='W&amp;S Balance Model'!$B$5), 'W&amp;S Balance Model'!$B$5, 'W&amp;S Balance Model'!$F$9)</f>
        <v>Barley</v>
      </c>
      <c r="C30" s="52"/>
      <c r="D30" s="4">
        <f>'W&amp;S Balance Model'!P51</f>
        <v>6.1131051010382009</v>
      </c>
      <c r="E30" s="4">
        <f>'W&amp;S Balance Model'!D57</f>
        <v>6.0326073384248744</v>
      </c>
      <c r="F30" s="5">
        <f>'W&amp;S Balance Model'!P57</f>
        <v>5.6851111962799417</v>
      </c>
      <c r="G30" s="6">
        <f>IF('W&amp;S Balance Model'!$B$15="Annual Pre-Sowing Flush", 'W&amp;S Balance Model'!$B$16, IF(AND('W&amp;S Balance Model'!$B$15="Year 1 Reclamation Only", 4=1), 'W&amp;S Balance Model'!$B$16, IF(AND('W&amp;S Balance Model'!$B$15="Bi-Annual Flush (Every 2 Yrs)", MOD(4,2)=1), 'W&amp;S Balance Model'!$B$16, IF(AND('W&amp;S Balance Model'!$B$15="Manual Flushing Input", 4=1), 'W&amp;S Balance Model'!$B$16, 0))))</f>
        <v>200</v>
      </c>
      <c r="H30" s="7">
        <f>'W&amp;S Balance Model'!$F$13</f>
        <v>0.15</v>
      </c>
      <c r="I30" s="6">
        <f>'W&amp;S Balance Model'!$F$14</f>
        <v>711</v>
      </c>
      <c r="J30" s="4">
        <f>'W&amp;S Balance Model'!$F$5</f>
        <v>8</v>
      </c>
      <c r="K30" s="55" t="str">
        <f>IF(B30='W&amp;S Balance Model'!$B$5, "TARGET CROP VIABLE &amp; CULTIVATED (Optimal Production)", "RECLAMATION LEACHING IN PROGRESS WITH PIONEER CROP")</f>
        <v>TARGET CROP VIABLE &amp; CULTIVATED (Optimal Production)</v>
      </c>
      <c r="L30" s="51"/>
      <c r="M30" s="51"/>
      <c r="N30" s="52"/>
    </row>
    <row r="31" spans="1:14" ht="19.95" customHeight="1" x14ac:dyDescent="0.3">
      <c r="A31" s="2" t="s">
        <v>23</v>
      </c>
      <c r="B31" s="55" t="str">
        <f>IF(OR('W&amp;S Balance Model'!P57&lt;='W&amp;S Balance Model'!$F$5, B30='W&amp;S Balance Model'!$B$5), 'W&amp;S Balance Model'!$B$5, 'W&amp;S Balance Model'!$F$9)</f>
        <v>Barley</v>
      </c>
      <c r="C31" s="52"/>
      <c r="D31" s="4">
        <f>'W&amp;S Balance Model'!P57</f>
        <v>5.6851111962799417</v>
      </c>
      <c r="E31" s="4">
        <f>'W&amp;S Balance Model'!D63</f>
        <v>5.6994559749924747</v>
      </c>
      <c r="F31" s="5">
        <f>'W&amp;S Balance Model'!P63</f>
        <v>5.3927674886021579</v>
      </c>
      <c r="G31" s="6">
        <f>IF('W&amp;S Balance Model'!$B$15="Annual Pre-Sowing Flush", 'W&amp;S Balance Model'!$B$16, IF(AND('W&amp;S Balance Model'!$B$15="Year 1 Reclamation Only", 5=1), 'W&amp;S Balance Model'!$B$16, IF(AND('W&amp;S Balance Model'!$B$15="Bi-Annual Flush (Every 2 Yrs)", MOD(5,2)=1), 'W&amp;S Balance Model'!$B$16, IF(AND('W&amp;S Balance Model'!$B$15="Manual Flushing Input", 5=1), 'W&amp;S Balance Model'!$B$16, 0))))</f>
        <v>200</v>
      </c>
      <c r="H31" s="7">
        <f>'W&amp;S Balance Model'!$F$13</f>
        <v>0.15</v>
      </c>
      <c r="I31" s="6">
        <f>'W&amp;S Balance Model'!$F$14</f>
        <v>711</v>
      </c>
      <c r="J31" s="4">
        <f>'W&amp;S Balance Model'!$F$5</f>
        <v>8</v>
      </c>
      <c r="K31" s="55" t="str">
        <f>IF(B31='W&amp;S Balance Model'!$B$5, "TARGET CROP VIABLE &amp; CULTIVATED (Optimal Production)", "RECLAMATION LEACHING IN PROGRESS WITH PIONEER CROP")</f>
        <v>TARGET CROP VIABLE &amp; CULTIVATED (Optimal Production)</v>
      </c>
      <c r="L31" s="51"/>
      <c r="M31" s="51"/>
      <c r="N31" s="52"/>
    </row>
    <row r="32" spans="1:14" ht="19.95" customHeight="1" x14ac:dyDescent="0.3">
      <c r="A32" s="2" t="s">
        <v>24</v>
      </c>
      <c r="B32" s="55" t="str">
        <f>IF(OR('W&amp;S Balance Model'!P63&lt;='W&amp;S Balance Model'!$F$5, B31='W&amp;S Balance Model'!$B$5), 'W&amp;S Balance Model'!$B$5, 'W&amp;S Balance Model'!$F$9)</f>
        <v>Barley</v>
      </c>
      <c r="C32" s="52"/>
      <c r="D32" s="4">
        <f>'W&amp;S Balance Model'!P63</f>
        <v>5.3927674886021579</v>
      </c>
      <c r="E32" s="4">
        <f>'W&amp;S Balance Model'!D69</f>
        <v>5.4718950127429151</v>
      </c>
      <c r="F32" s="5">
        <f>'W&amp;S Balance Model'!P69</f>
        <v>5.1930804312197312</v>
      </c>
      <c r="G32" s="6">
        <f>IF('W&amp;S Balance Model'!$B$15="Annual Pre-Sowing Flush", 'W&amp;S Balance Model'!$B$16, IF(AND('W&amp;S Balance Model'!$B$15="Year 1 Reclamation Only", 6=1), 'W&amp;S Balance Model'!$B$16, IF(AND('W&amp;S Balance Model'!$B$15="Bi-Annual Flush (Every 2 Yrs)", MOD(6,2)=1), 'W&amp;S Balance Model'!$B$16, IF(AND('W&amp;S Balance Model'!$B$15="Manual Flushing Input", 6=1), 'W&amp;S Balance Model'!$B$16, 0))))</f>
        <v>200</v>
      </c>
      <c r="H32" s="7">
        <f>'W&amp;S Balance Model'!$F$13</f>
        <v>0.15</v>
      </c>
      <c r="I32" s="6">
        <f>'W&amp;S Balance Model'!$F$14</f>
        <v>711</v>
      </c>
      <c r="J32" s="4">
        <f>'W&amp;S Balance Model'!$F$5</f>
        <v>8</v>
      </c>
      <c r="K32" s="55" t="str">
        <f>IF(B32='W&amp;S Balance Model'!$B$5, "TARGET CROP VIABLE &amp; CULTIVATED (Optimal Production)", "RECLAMATION LEACHING IN PROGRESS WITH PIONEER CROP")</f>
        <v>TARGET CROP VIABLE &amp; CULTIVATED (Optimal Production)</v>
      </c>
      <c r="L32" s="51"/>
      <c r="M32" s="51"/>
      <c r="N32" s="52"/>
    </row>
    <row r="33" spans="1:14" ht="19.95" customHeight="1" x14ac:dyDescent="0.3">
      <c r="A33" s="2" t="s">
        <v>25</v>
      </c>
      <c r="B33" s="55" t="str">
        <f>IF(OR('W&amp;S Balance Model'!P69&lt;='W&amp;S Balance Model'!$F$5, B32='W&amp;S Balance Model'!$B$5), 'W&amp;S Balance Model'!$B$5, 'W&amp;S Balance Model'!$F$9)</f>
        <v>Barley</v>
      </c>
      <c r="C33" s="52"/>
      <c r="D33" s="4">
        <f>'W&amp;S Balance Model'!P69</f>
        <v>5.1930804312197312</v>
      </c>
      <c r="E33" s="4">
        <f>'W&amp;S Balance Model'!D75</f>
        <v>5.3164581836499059</v>
      </c>
      <c r="F33" s="5">
        <f>'W&amp;S Balance Model'!P75</f>
        <v>5.056683033776844</v>
      </c>
      <c r="G33" s="6">
        <f>IF('W&amp;S Balance Model'!$B$15="Annual Pre-Sowing Flush", 'W&amp;S Balance Model'!$B$16, IF(AND('W&amp;S Balance Model'!$B$15="Year 1 Reclamation Only", 7=1), 'W&amp;S Balance Model'!$B$16, IF(AND('W&amp;S Balance Model'!$B$15="Bi-Annual Flush (Every 2 Yrs)", MOD(7,2)=1), 'W&amp;S Balance Model'!$B$16, IF(AND('W&amp;S Balance Model'!$B$15="Manual Flushing Input", 7=1), 'W&amp;S Balance Model'!$B$16, 0))))</f>
        <v>200</v>
      </c>
      <c r="H33" s="7">
        <f>'W&amp;S Balance Model'!$F$13</f>
        <v>0.15</v>
      </c>
      <c r="I33" s="6">
        <f>'W&amp;S Balance Model'!$F$14</f>
        <v>711</v>
      </c>
      <c r="J33" s="4">
        <f>'W&amp;S Balance Model'!$F$5</f>
        <v>8</v>
      </c>
      <c r="K33" s="55" t="str">
        <f>IF(B33='W&amp;S Balance Model'!$B$5, "TARGET CROP VIABLE &amp; CULTIVATED (Optimal Production)", "RECLAMATION LEACHING IN PROGRESS WITH PIONEER CROP")</f>
        <v>TARGET CROP VIABLE &amp; CULTIVATED (Optimal Production)</v>
      </c>
      <c r="L33" s="51"/>
      <c r="M33" s="51"/>
      <c r="N33" s="52"/>
    </row>
    <row r="34" spans="1:14" ht="19.95" customHeight="1" x14ac:dyDescent="0.3">
      <c r="A34" s="2" t="s">
        <v>26</v>
      </c>
      <c r="B34" s="55" t="str">
        <f>IF(OR('W&amp;S Balance Model'!P75&lt;='W&amp;S Balance Model'!$F$5, B33='W&amp;S Balance Model'!$B$5), 'W&amp;S Balance Model'!$B$5, 'W&amp;S Balance Model'!$F$9)</f>
        <v>Barley</v>
      </c>
      <c r="C34" s="52"/>
      <c r="D34" s="4">
        <f>'W&amp;S Balance Model'!P75</f>
        <v>5.056683033776844</v>
      </c>
      <c r="E34" s="4">
        <f>'W&amp;S Balance Model'!D81</f>
        <v>5.210286160119816</v>
      </c>
      <c r="F34" s="5">
        <f>'W&amp;S Balance Model'!P81</f>
        <v>4.9635160039599686</v>
      </c>
      <c r="G34" s="6">
        <f>IF('W&amp;S Balance Model'!$B$15="Annual Pre-Sowing Flush", 'W&amp;S Balance Model'!$B$16, IF(AND('W&amp;S Balance Model'!$B$15="Year 1 Reclamation Only", 8=1), 'W&amp;S Balance Model'!$B$16, IF(AND('W&amp;S Balance Model'!$B$15="Bi-Annual Flush (Every 2 Yrs)", MOD(8,2)=1), 'W&amp;S Balance Model'!$B$16, IF(AND('W&amp;S Balance Model'!$B$15="Manual Flushing Input", 8=1), 'W&amp;S Balance Model'!$B$16, 0))))</f>
        <v>200</v>
      </c>
      <c r="H34" s="7">
        <f>'W&amp;S Balance Model'!$F$13</f>
        <v>0.15</v>
      </c>
      <c r="I34" s="6">
        <f>'W&amp;S Balance Model'!$F$14</f>
        <v>711</v>
      </c>
      <c r="J34" s="4">
        <f>'W&amp;S Balance Model'!$F$5</f>
        <v>8</v>
      </c>
      <c r="K34" s="55" t="str">
        <f>IF(B34='W&amp;S Balance Model'!$B$5, "TARGET CROP VIABLE &amp; CULTIVATED (Optimal Production)", "RECLAMATION LEACHING IN PROGRESS WITH PIONEER CROP")</f>
        <v>TARGET CROP VIABLE &amp; CULTIVATED (Optimal Production)</v>
      </c>
      <c r="L34" s="51"/>
      <c r="M34" s="51"/>
      <c r="N34" s="52"/>
    </row>
    <row r="35" spans="1:14" ht="19.95" customHeight="1" x14ac:dyDescent="0.3">
      <c r="A35" s="2" t="s">
        <v>27</v>
      </c>
      <c r="B35" s="55" t="str">
        <f>IF(OR('W&amp;S Balance Model'!P81&lt;='W&amp;S Balance Model'!$F$5, B34='W&amp;S Balance Model'!$B$5), 'W&amp;S Balance Model'!$B$5, 'W&amp;S Balance Model'!$F$9)</f>
        <v>Barley</v>
      </c>
      <c r="C35" s="52"/>
      <c r="D35" s="4">
        <f>'W&amp;S Balance Model'!P81</f>
        <v>4.9635160039599686</v>
      </c>
      <c r="E35" s="4">
        <f>'W&amp;S Balance Model'!D87</f>
        <v>5.1377647464609693</v>
      </c>
      <c r="F35" s="5">
        <f>'W&amp;S Balance Model'!P87</f>
        <v>4.899877726341562</v>
      </c>
      <c r="G35" s="6">
        <f>IF('W&amp;S Balance Model'!$B$15="Annual Pre-Sowing Flush", 'W&amp;S Balance Model'!$B$16, IF(AND('W&amp;S Balance Model'!$B$15="Year 1 Reclamation Only", 9=1), 'W&amp;S Balance Model'!$B$16, IF(AND('W&amp;S Balance Model'!$B$15="Bi-Annual Flush (Every 2 Yrs)", MOD(9,2)=1), 'W&amp;S Balance Model'!$B$16, IF(AND('W&amp;S Balance Model'!$B$15="Manual Flushing Input", 9=1), 'W&amp;S Balance Model'!$B$16, 0))))</f>
        <v>200</v>
      </c>
      <c r="H35" s="7">
        <f>'W&amp;S Balance Model'!$F$13</f>
        <v>0.15</v>
      </c>
      <c r="I35" s="6">
        <f>'W&amp;S Balance Model'!$F$14</f>
        <v>711</v>
      </c>
      <c r="J35" s="4">
        <f>'W&amp;S Balance Model'!$F$5</f>
        <v>8</v>
      </c>
      <c r="K35" s="55" t="str">
        <f>IF(B35='W&amp;S Balance Model'!$B$5, "TARGET CROP VIABLE &amp; CULTIVATED (Optimal Production)", "RECLAMATION LEACHING IN PROGRESS WITH PIONEER CROP")</f>
        <v>TARGET CROP VIABLE &amp; CULTIVATED (Optimal Production)</v>
      </c>
      <c r="L35" s="51"/>
      <c r="M35" s="51"/>
      <c r="N35" s="52"/>
    </row>
    <row r="36" spans="1:14" ht="19.95" customHeight="1" x14ac:dyDescent="0.3">
      <c r="A36" s="2" t="s">
        <v>28</v>
      </c>
      <c r="B36" s="55" t="str">
        <f>IF(OR('W&amp;S Balance Model'!P87&lt;='W&amp;S Balance Model'!$F$5, B35='W&amp;S Balance Model'!$B$5), 'W&amp;S Balance Model'!$B$5, 'W&amp;S Balance Model'!$F$9)</f>
        <v>Barley</v>
      </c>
      <c r="C36" s="52"/>
      <c r="D36" s="4">
        <f>'W&amp;S Balance Model'!P87</f>
        <v>4.899877726341562</v>
      </c>
      <c r="E36" s="4">
        <f>'W&amp;S Balance Model'!D93</f>
        <v>5.0882285761572428</v>
      </c>
      <c r="F36" s="5">
        <f>'W&amp;S Balance Model'!P93</f>
        <v>4.8564092333972511</v>
      </c>
      <c r="G36" s="6">
        <f>IF('W&amp;S Balance Model'!$B$15="Annual Pre-Sowing Flush", 'W&amp;S Balance Model'!$B$16, IF(AND('W&amp;S Balance Model'!$B$15="Year 1 Reclamation Only", 10=1), 'W&amp;S Balance Model'!$B$16, IF(AND('W&amp;S Balance Model'!$B$15="Bi-Annual Flush (Every 2 Yrs)", MOD(10,2)=1), 'W&amp;S Balance Model'!$B$16, IF(AND('W&amp;S Balance Model'!$B$15="Manual Flushing Input", 10=1), 'W&amp;S Balance Model'!$B$16, 0))))</f>
        <v>200</v>
      </c>
      <c r="H36" s="7">
        <f>'W&amp;S Balance Model'!$F$13</f>
        <v>0.15</v>
      </c>
      <c r="I36" s="6">
        <f>'W&amp;S Balance Model'!$F$14</f>
        <v>711</v>
      </c>
      <c r="J36" s="4">
        <f>'W&amp;S Balance Model'!$F$5</f>
        <v>8</v>
      </c>
      <c r="K36" s="55" t="str">
        <f>IF(B36='W&amp;S Balance Model'!$B$5, "TARGET CROP VIABLE &amp; CULTIVATED (Optimal Production)", "RECLAMATION LEACHING IN PROGRESS WITH PIONEER CROP")</f>
        <v>TARGET CROP VIABLE &amp; CULTIVATED (Optimal Production)</v>
      </c>
      <c r="L36" s="51"/>
      <c r="M36" s="51"/>
      <c r="N36" s="52"/>
    </row>
    <row r="39" spans="1:14" ht="22.2" customHeight="1" x14ac:dyDescent="0.3">
      <c r="A39" s="48" t="s">
        <v>29</v>
      </c>
      <c r="B39" s="49"/>
      <c r="C39" s="49"/>
      <c r="D39" s="49"/>
      <c r="E39" s="49"/>
      <c r="F39" s="49"/>
      <c r="G39" s="49"/>
      <c r="H39" s="49"/>
      <c r="I39" s="49"/>
      <c r="J39" s="49"/>
      <c r="K39" s="49"/>
      <c r="L39" s="49"/>
      <c r="M39" s="49"/>
      <c r="N39" s="49"/>
    </row>
    <row r="40" spans="1:14" ht="18" customHeight="1" x14ac:dyDescent="0.3">
      <c r="A40" s="57" t="s">
        <v>30</v>
      </c>
      <c r="B40" s="58"/>
      <c r="C40" s="58"/>
      <c r="D40" s="58"/>
      <c r="E40" s="58"/>
      <c r="F40" s="58"/>
      <c r="G40" s="58"/>
      <c r="H40" s="58"/>
      <c r="I40" s="58"/>
      <c r="J40" s="58"/>
      <c r="K40" s="58"/>
      <c r="L40" s="58"/>
      <c r="M40" s="58"/>
      <c r="N40" s="59"/>
    </row>
    <row r="41" spans="1:14" ht="18" customHeight="1" x14ac:dyDescent="0.3">
      <c r="A41" s="60"/>
      <c r="B41" s="49"/>
      <c r="C41" s="49"/>
      <c r="D41" s="49"/>
      <c r="E41" s="49"/>
      <c r="F41" s="49"/>
      <c r="G41" s="49"/>
      <c r="H41" s="49"/>
      <c r="I41" s="49"/>
      <c r="J41" s="49"/>
      <c r="K41" s="49"/>
      <c r="L41" s="49"/>
      <c r="M41" s="49"/>
      <c r="N41" s="61"/>
    </row>
    <row r="42" spans="1:14" ht="18" customHeight="1" x14ac:dyDescent="0.3">
      <c r="A42" s="60"/>
      <c r="B42" s="49"/>
      <c r="C42" s="49"/>
      <c r="D42" s="49"/>
      <c r="E42" s="49"/>
      <c r="F42" s="49"/>
      <c r="G42" s="49"/>
      <c r="H42" s="49"/>
      <c r="I42" s="49"/>
      <c r="J42" s="49"/>
      <c r="K42" s="49"/>
      <c r="L42" s="49"/>
      <c r="M42" s="49"/>
      <c r="N42" s="61"/>
    </row>
    <row r="43" spans="1:14" ht="18" customHeight="1" x14ac:dyDescent="0.3">
      <c r="A43" s="60"/>
      <c r="B43" s="49"/>
      <c r="C43" s="49"/>
      <c r="D43" s="49"/>
      <c r="E43" s="49"/>
      <c r="F43" s="49"/>
      <c r="G43" s="49"/>
      <c r="H43" s="49"/>
      <c r="I43" s="49"/>
      <c r="J43" s="49"/>
      <c r="K43" s="49"/>
      <c r="L43" s="49"/>
      <c r="M43" s="49"/>
      <c r="N43" s="61"/>
    </row>
    <row r="44" spans="1:14" ht="18" customHeight="1" x14ac:dyDescent="0.3">
      <c r="A44" s="62"/>
      <c r="B44" s="63"/>
      <c r="C44" s="63"/>
      <c r="D44" s="63"/>
      <c r="E44" s="63"/>
      <c r="F44" s="63"/>
      <c r="G44" s="63"/>
      <c r="H44" s="63"/>
      <c r="I44" s="63"/>
      <c r="J44" s="63"/>
      <c r="K44" s="63"/>
      <c r="L44" s="63"/>
      <c r="M44" s="63"/>
      <c r="N44" s="64"/>
    </row>
  </sheetData>
  <mergeCells count="42">
    <mergeCell ref="B36:C36"/>
    <mergeCell ref="B32:C32"/>
    <mergeCell ref="B26:C26"/>
    <mergeCell ref="M4:N4"/>
    <mergeCell ref="K27:N27"/>
    <mergeCell ref="B35:C35"/>
    <mergeCell ref="J5:L5"/>
    <mergeCell ref="K31:N31"/>
    <mergeCell ref="B30:C30"/>
    <mergeCell ref="B33:C33"/>
    <mergeCell ref="A40:N44"/>
    <mergeCell ref="A1:N1"/>
    <mergeCell ref="K28:N28"/>
    <mergeCell ref="A5:C5"/>
    <mergeCell ref="G5:I5"/>
    <mergeCell ref="D4:F4"/>
    <mergeCell ref="A7:N7"/>
    <mergeCell ref="A25:N25"/>
    <mergeCell ref="K34:N34"/>
    <mergeCell ref="D3:F3"/>
    <mergeCell ref="G4:I4"/>
    <mergeCell ref="K30:N30"/>
    <mergeCell ref="A4:C4"/>
    <mergeCell ref="K33:N33"/>
    <mergeCell ref="J3:L3"/>
    <mergeCell ref="K36:N36"/>
    <mergeCell ref="A39:N39"/>
    <mergeCell ref="A3:C3"/>
    <mergeCell ref="G3:I3"/>
    <mergeCell ref="J4:L4"/>
    <mergeCell ref="M5:N5"/>
    <mergeCell ref="B27:C27"/>
    <mergeCell ref="B31:C31"/>
    <mergeCell ref="B29:C29"/>
    <mergeCell ref="D5:F5"/>
    <mergeCell ref="K26:N26"/>
    <mergeCell ref="B34:C34"/>
    <mergeCell ref="K29:N29"/>
    <mergeCell ref="K35:N35"/>
    <mergeCell ref="B28:C28"/>
    <mergeCell ref="M3:N3"/>
    <mergeCell ref="K32:N3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
  <sheetViews>
    <sheetView workbookViewId="0">
      <selection activeCell="B23" sqref="B23"/>
    </sheetView>
  </sheetViews>
  <sheetFormatPr defaultRowHeight="14.4" x14ac:dyDescent="0.3"/>
  <cols>
    <col min="1" max="1" width="32" customWidth="1"/>
    <col min="2" max="2" width="16" customWidth="1"/>
    <col min="3" max="3" width="24" customWidth="1"/>
    <col min="4" max="4" width="10" customWidth="1"/>
    <col min="5" max="5" width="38" customWidth="1"/>
    <col min="6" max="14" width="12" customWidth="1"/>
  </cols>
  <sheetData>
    <row r="1" spans="1:14" ht="34.950000000000003" customHeight="1" x14ac:dyDescent="0.3">
      <c r="A1" s="65" t="s">
        <v>114</v>
      </c>
      <c r="B1" s="49"/>
      <c r="C1" s="49"/>
      <c r="D1" s="49"/>
      <c r="E1" s="49"/>
      <c r="F1" s="49"/>
      <c r="G1" s="49"/>
      <c r="H1" s="49"/>
      <c r="I1" s="49"/>
      <c r="J1" s="49"/>
      <c r="K1" s="49"/>
      <c r="L1" s="49"/>
      <c r="M1" s="49"/>
      <c r="N1" s="49"/>
    </row>
    <row r="3" spans="1:14" ht="22.2" customHeight="1" x14ac:dyDescent="0.3">
      <c r="A3" s="48" t="s">
        <v>115</v>
      </c>
      <c r="B3" s="49"/>
      <c r="C3" s="49"/>
      <c r="D3" s="49"/>
      <c r="E3" s="49"/>
      <c r="F3" s="49"/>
    </row>
    <row r="5" spans="1:14" ht="19.95" customHeight="1" x14ac:dyDescent="0.3">
      <c r="A5" s="55" t="s">
        <v>116</v>
      </c>
      <c r="B5" s="52"/>
      <c r="C5" s="11" t="s">
        <v>117</v>
      </c>
      <c r="D5" s="12" t="s">
        <v>118</v>
      </c>
      <c r="E5" s="66" t="s">
        <v>119</v>
      </c>
      <c r="F5" s="52"/>
    </row>
    <row r="6" spans="1:14" ht="19.95" customHeight="1" x14ac:dyDescent="0.3">
      <c r="A6" s="55" t="s">
        <v>120</v>
      </c>
      <c r="B6" s="52"/>
      <c r="C6" s="13">
        <v>30</v>
      </c>
      <c r="D6" s="12" t="s">
        <v>121</v>
      </c>
      <c r="E6" s="66" t="s">
        <v>122</v>
      </c>
      <c r="F6" s="52"/>
    </row>
    <row r="7" spans="1:14" ht="19.95" customHeight="1" x14ac:dyDescent="0.3">
      <c r="A7" s="55" t="s">
        <v>123</v>
      </c>
      <c r="B7" s="52"/>
      <c r="C7" s="13">
        <v>35</v>
      </c>
      <c r="D7" s="12" t="s">
        <v>121</v>
      </c>
      <c r="E7" s="66" t="s">
        <v>124</v>
      </c>
      <c r="F7" s="52"/>
    </row>
    <row r="8" spans="1:14" ht="19.95" customHeight="1" x14ac:dyDescent="0.3">
      <c r="A8" s="55" t="s">
        <v>125</v>
      </c>
      <c r="B8" s="52"/>
      <c r="C8" s="13">
        <v>35</v>
      </c>
      <c r="D8" s="12" t="s">
        <v>121</v>
      </c>
      <c r="E8" s="66" t="s">
        <v>126</v>
      </c>
      <c r="F8" s="52"/>
    </row>
    <row r="9" spans="1:14" ht="19.95" customHeight="1" x14ac:dyDescent="0.3">
      <c r="A9" s="55" t="s">
        <v>127</v>
      </c>
      <c r="B9" s="52"/>
      <c r="C9" s="13">
        <v>1.5</v>
      </c>
      <c r="D9" s="12" t="s">
        <v>121</v>
      </c>
      <c r="E9" s="66" t="s">
        <v>128</v>
      </c>
      <c r="F9" s="52"/>
    </row>
    <row r="10" spans="1:14" ht="19.95" customHeight="1" x14ac:dyDescent="0.3">
      <c r="A10" s="55" t="s">
        <v>129</v>
      </c>
      <c r="B10" s="52"/>
      <c r="C10" s="14">
        <v>1000</v>
      </c>
      <c r="D10" s="12" t="s">
        <v>130</v>
      </c>
      <c r="E10" s="66" t="s">
        <v>131</v>
      </c>
      <c r="F10" s="52"/>
    </row>
    <row r="11" spans="1:14" ht="19.95" customHeight="1" x14ac:dyDescent="0.3">
      <c r="A11" s="55" t="s">
        <v>132</v>
      </c>
      <c r="B11" s="52"/>
      <c r="C11" s="2" t="str">
        <f>IF(C5="No", "Clay Loam (Default)", IF(C8&gt;=40, "Clay", IF(AND(C8&gt;=27, C6&lt;=45), "Clay Loam", IF(C6&gt;=52, "Sandy Loam", IF(C7&gt;=50, "Silt Loam", "Loam")))))</f>
        <v>Clay Loam</v>
      </c>
      <c r="D11" s="12" t="s">
        <v>133</v>
      </c>
      <c r="E11" s="66" t="s">
        <v>134</v>
      </c>
      <c r="F11" s="52"/>
    </row>
    <row r="12" spans="1:14" ht="19.95" customHeight="1" x14ac:dyDescent="0.3">
      <c r="A12" s="55" t="s">
        <v>135</v>
      </c>
      <c r="B12" s="52"/>
      <c r="C12" s="15">
        <f>IF(C5="No", 360, ROUND((IF(C8&gt;=40, 0.4, IF(AND(C8&gt;=27, C6&lt;=45), 0.35, IF(C6&gt;=52, 0.2, IF(C7&gt;=50, 0.31, 0.27)))) + C9*0.015) * (C10/1000) * 1000, 0))</f>
        <v>373</v>
      </c>
      <c r="D12" s="12" t="s">
        <v>130</v>
      </c>
      <c r="E12" s="66" t="s">
        <v>136</v>
      </c>
      <c r="F12" s="52"/>
    </row>
    <row r="13" spans="1:14" ht="19.95" customHeight="1" x14ac:dyDescent="0.3">
      <c r="A13" s="55" t="s">
        <v>137</v>
      </c>
      <c r="B13" s="52"/>
      <c r="C13" s="14">
        <v>360</v>
      </c>
      <c r="D13" s="12" t="s">
        <v>130</v>
      </c>
      <c r="E13" s="66" t="s">
        <v>138</v>
      </c>
      <c r="F13" s="52"/>
    </row>
    <row r="14" spans="1:14" ht="19.95" customHeight="1" x14ac:dyDescent="0.3">
      <c r="A14" s="55" t="s">
        <v>139</v>
      </c>
      <c r="B14" s="52"/>
      <c r="C14" s="15">
        <f>IF(C5="Yes", C12, C13)</f>
        <v>373</v>
      </c>
      <c r="D14" s="12" t="s">
        <v>130</v>
      </c>
      <c r="E14" s="66" t="s">
        <v>140</v>
      </c>
      <c r="F14" s="52"/>
    </row>
    <row r="17" spans="1:14" ht="22.2" customHeight="1" x14ac:dyDescent="0.3">
      <c r="A17" s="48" t="s">
        <v>141</v>
      </c>
      <c r="B17" s="49"/>
      <c r="C17" s="49"/>
      <c r="D17" s="49"/>
      <c r="E17" s="49"/>
      <c r="F17" s="49"/>
      <c r="G17" s="49"/>
      <c r="H17" s="49"/>
      <c r="I17" s="49"/>
      <c r="J17" s="49"/>
      <c r="K17" s="49"/>
      <c r="L17" s="49"/>
      <c r="M17" s="49"/>
      <c r="N17" s="49"/>
    </row>
    <row r="18" spans="1:14" ht="22.2" customHeight="1" x14ac:dyDescent="0.3">
      <c r="A18" s="1" t="s">
        <v>142</v>
      </c>
      <c r="B18" s="1" t="s">
        <v>143</v>
      </c>
      <c r="C18" s="1" t="s">
        <v>144</v>
      </c>
      <c r="D18" s="1" t="s">
        <v>145</v>
      </c>
      <c r="E18" s="1" t="s">
        <v>146</v>
      </c>
      <c r="F18" s="1" t="s">
        <v>147</v>
      </c>
      <c r="G18" s="1" t="s">
        <v>148</v>
      </c>
      <c r="H18" s="1" t="s">
        <v>149</v>
      </c>
      <c r="I18" s="1" t="s">
        <v>150</v>
      </c>
      <c r="J18" s="1" t="s">
        <v>151</v>
      </c>
      <c r="K18" s="1" t="s">
        <v>152</v>
      </c>
      <c r="L18" s="1" t="s">
        <v>153</v>
      </c>
      <c r="M18" s="1" t="s">
        <v>154</v>
      </c>
      <c r="N18" s="1" t="s">
        <v>155</v>
      </c>
    </row>
    <row r="19" spans="1:14" ht="19.95" customHeight="1" x14ac:dyDescent="0.3">
      <c r="A19" s="3" t="s">
        <v>156</v>
      </c>
      <c r="B19" s="12" t="s">
        <v>157</v>
      </c>
      <c r="C19" s="6">
        <v>140</v>
      </c>
      <c r="D19" s="6">
        <v>80</v>
      </c>
      <c r="E19" s="6">
        <v>55</v>
      </c>
      <c r="F19" s="6">
        <v>50</v>
      </c>
      <c r="G19" s="6">
        <v>75</v>
      </c>
      <c r="H19" s="6">
        <v>120</v>
      </c>
      <c r="I19" s="6">
        <v>180</v>
      </c>
      <c r="J19" s="6">
        <v>240</v>
      </c>
      <c r="K19" s="6">
        <v>285</v>
      </c>
      <c r="L19" s="6">
        <v>310</v>
      </c>
      <c r="M19" s="6">
        <v>280</v>
      </c>
      <c r="N19" s="6">
        <v>200</v>
      </c>
    </row>
    <row r="20" spans="1:14" ht="19.95" customHeight="1" x14ac:dyDescent="0.3">
      <c r="A20" s="3" t="s">
        <v>156</v>
      </c>
      <c r="B20" s="12" t="s">
        <v>158</v>
      </c>
      <c r="C20" s="6">
        <v>5</v>
      </c>
      <c r="D20" s="6">
        <v>18</v>
      </c>
      <c r="E20" s="6">
        <v>22</v>
      </c>
      <c r="F20" s="6">
        <v>28</v>
      </c>
      <c r="G20" s="6">
        <v>22</v>
      </c>
      <c r="H20" s="6">
        <v>18</v>
      </c>
      <c r="I20" s="6">
        <v>12</v>
      </c>
      <c r="J20" s="6">
        <v>3</v>
      </c>
      <c r="K20" s="6">
        <v>0</v>
      </c>
      <c r="L20" s="6">
        <v>0</v>
      </c>
      <c r="M20" s="6">
        <v>0</v>
      </c>
      <c r="N20" s="6">
        <v>0</v>
      </c>
    </row>
    <row r="21" spans="1:14" ht="19.95" customHeight="1" x14ac:dyDescent="0.3">
      <c r="A21" s="3" t="s">
        <v>159</v>
      </c>
      <c r="B21" s="12" t="s">
        <v>157</v>
      </c>
      <c r="C21" s="6">
        <v>155</v>
      </c>
      <c r="D21" s="6">
        <v>90</v>
      </c>
      <c r="E21" s="6">
        <v>60</v>
      </c>
      <c r="F21" s="6">
        <v>55</v>
      </c>
      <c r="G21" s="6">
        <v>80</v>
      </c>
      <c r="H21" s="6">
        <v>130</v>
      </c>
      <c r="I21" s="6">
        <v>195</v>
      </c>
      <c r="J21" s="6">
        <v>255</v>
      </c>
      <c r="K21" s="6">
        <v>295</v>
      </c>
      <c r="L21" s="6">
        <v>320</v>
      </c>
      <c r="M21" s="6">
        <v>290</v>
      </c>
      <c r="N21" s="6">
        <v>215</v>
      </c>
    </row>
    <row r="22" spans="1:14" ht="19.95" customHeight="1" x14ac:dyDescent="0.3">
      <c r="A22" s="3" t="s">
        <v>159</v>
      </c>
      <c r="B22" s="12" t="s">
        <v>158</v>
      </c>
      <c r="C22" s="6">
        <v>3</v>
      </c>
      <c r="D22" s="6">
        <v>15</v>
      </c>
      <c r="E22" s="6">
        <v>18</v>
      </c>
      <c r="F22" s="6">
        <v>22</v>
      </c>
      <c r="G22" s="6">
        <v>18</v>
      </c>
      <c r="H22" s="6">
        <v>14</v>
      </c>
      <c r="I22" s="6">
        <v>8</v>
      </c>
      <c r="J22" s="6">
        <v>2</v>
      </c>
      <c r="K22" s="6">
        <v>0</v>
      </c>
      <c r="L22" s="6">
        <v>0</v>
      </c>
      <c r="M22" s="6">
        <v>0</v>
      </c>
      <c r="N22" s="6">
        <v>0</v>
      </c>
    </row>
    <row r="23" spans="1:14" ht="19.95" customHeight="1" x14ac:dyDescent="0.3">
      <c r="A23" s="3" t="s">
        <v>160</v>
      </c>
      <c r="B23" s="12" t="s">
        <v>157</v>
      </c>
      <c r="C23" s="6">
        <v>115</v>
      </c>
      <c r="D23" s="6">
        <v>65</v>
      </c>
      <c r="E23" s="6">
        <v>45</v>
      </c>
      <c r="F23" s="6">
        <v>40</v>
      </c>
      <c r="G23" s="6">
        <v>55</v>
      </c>
      <c r="H23" s="6">
        <v>90</v>
      </c>
      <c r="I23" s="6">
        <v>140</v>
      </c>
      <c r="J23" s="6">
        <v>200</v>
      </c>
      <c r="K23" s="6">
        <v>255</v>
      </c>
      <c r="L23" s="6">
        <v>280</v>
      </c>
      <c r="M23" s="6">
        <v>250</v>
      </c>
      <c r="N23" s="6">
        <v>175</v>
      </c>
    </row>
    <row r="24" spans="1:14" ht="19.95" customHeight="1" x14ac:dyDescent="0.3">
      <c r="A24" s="3" t="s">
        <v>160</v>
      </c>
      <c r="B24" s="12" t="s">
        <v>158</v>
      </c>
      <c r="C24" s="6">
        <v>20</v>
      </c>
      <c r="D24" s="6">
        <v>45</v>
      </c>
      <c r="E24" s="6">
        <v>65</v>
      </c>
      <c r="F24" s="6">
        <v>80</v>
      </c>
      <c r="G24" s="6">
        <v>75</v>
      </c>
      <c r="H24" s="6">
        <v>60</v>
      </c>
      <c r="I24" s="6">
        <v>40</v>
      </c>
      <c r="J24" s="6">
        <v>15</v>
      </c>
      <c r="K24" s="6">
        <v>1</v>
      </c>
      <c r="L24" s="6">
        <v>0</v>
      </c>
      <c r="M24" s="6">
        <v>0</v>
      </c>
      <c r="N24" s="6">
        <v>2</v>
      </c>
    </row>
    <row r="25" spans="1:14" ht="19.95" customHeight="1" x14ac:dyDescent="0.3">
      <c r="A25" s="46" t="s">
        <v>161</v>
      </c>
      <c r="B25" s="12" t="s">
        <v>157</v>
      </c>
      <c r="C25" s="6">
        <v>226</v>
      </c>
      <c r="D25" s="6">
        <v>145</v>
      </c>
      <c r="E25" s="6">
        <v>121</v>
      </c>
      <c r="F25" s="6">
        <v>121</v>
      </c>
      <c r="G25" s="6">
        <v>139</v>
      </c>
      <c r="H25" s="6">
        <v>200</v>
      </c>
      <c r="I25" s="6">
        <v>247</v>
      </c>
      <c r="J25" s="6">
        <v>310</v>
      </c>
      <c r="K25" s="6">
        <v>302</v>
      </c>
      <c r="L25" s="6">
        <v>313</v>
      </c>
      <c r="M25" s="6">
        <v>283</v>
      </c>
      <c r="N25" s="6">
        <v>256</v>
      </c>
    </row>
    <row r="26" spans="1:14" ht="19.95" customHeight="1" x14ac:dyDescent="0.3">
      <c r="A26" s="46" t="s">
        <v>161</v>
      </c>
      <c r="B26" s="12" t="s">
        <v>158</v>
      </c>
      <c r="C26" s="6">
        <v>0</v>
      </c>
      <c r="D26" s="6">
        <v>0</v>
      </c>
      <c r="E26" s="6">
        <v>0</v>
      </c>
      <c r="F26" s="6">
        <v>3</v>
      </c>
      <c r="G26" s="6">
        <v>1</v>
      </c>
      <c r="H26" s="6">
        <v>12</v>
      </c>
      <c r="I26" s="6">
        <v>17</v>
      </c>
      <c r="J26" s="6">
        <v>6</v>
      </c>
      <c r="K26" s="6">
        <v>0</v>
      </c>
      <c r="L26" s="6">
        <v>0</v>
      </c>
      <c r="M26" s="6">
        <v>2</v>
      </c>
      <c r="N26" s="6">
        <v>2</v>
      </c>
    </row>
    <row r="27" spans="1:14" ht="19.95" customHeight="1" x14ac:dyDescent="0.3">
      <c r="A27" s="3" t="s">
        <v>162</v>
      </c>
      <c r="B27" s="12" t="s">
        <v>157</v>
      </c>
      <c r="C27" s="6">
        <v>145</v>
      </c>
      <c r="D27" s="6">
        <v>95</v>
      </c>
      <c r="E27" s="6">
        <v>65</v>
      </c>
      <c r="F27" s="6">
        <v>60</v>
      </c>
      <c r="G27" s="6">
        <v>80</v>
      </c>
      <c r="H27" s="6">
        <v>120</v>
      </c>
      <c r="I27" s="6">
        <v>170</v>
      </c>
      <c r="J27" s="6">
        <v>220</v>
      </c>
      <c r="K27" s="6">
        <v>255</v>
      </c>
      <c r="L27" s="6">
        <v>270</v>
      </c>
      <c r="M27" s="6">
        <v>240</v>
      </c>
      <c r="N27" s="6">
        <v>185</v>
      </c>
    </row>
    <row r="28" spans="1:14" ht="19.95" customHeight="1" x14ac:dyDescent="0.3">
      <c r="A28" s="3" t="s">
        <v>162</v>
      </c>
      <c r="B28" s="12" t="s">
        <v>158</v>
      </c>
      <c r="C28" s="6">
        <v>8</v>
      </c>
      <c r="D28" s="6">
        <v>30</v>
      </c>
      <c r="E28" s="6">
        <v>50</v>
      </c>
      <c r="F28" s="6">
        <v>65</v>
      </c>
      <c r="G28" s="6">
        <v>55</v>
      </c>
      <c r="H28" s="6">
        <v>40</v>
      </c>
      <c r="I28" s="6">
        <v>15</v>
      </c>
      <c r="J28" s="6">
        <v>3</v>
      </c>
      <c r="K28" s="6">
        <v>0</v>
      </c>
      <c r="L28" s="6">
        <v>0</v>
      </c>
      <c r="M28" s="6">
        <v>0</v>
      </c>
      <c r="N28" s="6">
        <v>0</v>
      </c>
    </row>
    <row r="29" spans="1:14" ht="19.95" customHeight="1" x14ac:dyDescent="0.3">
      <c r="A29" s="16" t="s">
        <v>163</v>
      </c>
      <c r="B29" s="17" t="s">
        <v>157</v>
      </c>
      <c r="C29" s="18">
        <v>140</v>
      </c>
      <c r="D29" s="18">
        <v>80</v>
      </c>
      <c r="E29" s="18">
        <v>55</v>
      </c>
      <c r="F29" s="18">
        <v>50</v>
      </c>
      <c r="G29" s="18">
        <v>75</v>
      </c>
      <c r="H29" s="18">
        <v>120</v>
      </c>
      <c r="I29" s="18">
        <v>180</v>
      </c>
      <c r="J29" s="18">
        <v>240</v>
      </c>
      <c r="K29" s="18">
        <v>280</v>
      </c>
      <c r="L29" s="18">
        <v>300</v>
      </c>
      <c r="M29" s="18">
        <v>270</v>
      </c>
      <c r="N29" s="18">
        <v>200</v>
      </c>
    </row>
    <row r="30" spans="1:14" ht="19.95" customHeight="1" x14ac:dyDescent="0.3">
      <c r="A30" s="16" t="s">
        <v>163</v>
      </c>
      <c r="B30" s="17" t="s">
        <v>158</v>
      </c>
      <c r="C30" s="18">
        <v>10</v>
      </c>
      <c r="D30" s="18">
        <v>25</v>
      </c>
      <c r="E30" s="18">
        <v>30</v>
      </c>
      <c r="F30" s="18">
        <v>35</v>
      </c>
      <c r="G30" s="18">
        <v>30</v>
      </c>
      <c r="H30" s="18">
        <v>20</v>
      </c>
      <c r="I30" s="18">
        <v>10</v>
      </c>
      <c r="J30" s="18">
        <v>5</v>
      </c>
      <c r="K30" s="18">
        <v>0</v>
      </c>
      <c r="L30" s="18">
        <v>0</v>
      </c>
      <c r="M30" s="18">
        <v>0</v>
      </c>
      <c r="N30" s="18">
        <v>0</v>
      </c>
    </row>
  </sheetData>
  <mergeCells count="23">
    <mergeCell ref="A17:N17"/>
    <mergeCell ref="E7:F7"/>
    <mergeCell ref="A10:B10"/>
    <mergeCell ref="A13:B13"/>
    <mergeCell ref="A9:B9"/>
    <mergeCell ref="E14:F14"/>
    <mergeCell ref="A14:B14"/>
    <mergeCell ref="A1:N1"/>
    <mergeCell ref="A7:B7"/>
    <mergeCell ref="E10:F10"/>
    <mergeCell ref="E13:F13"/>
    <mergeCell ref="E9:F9"/>
    <mergeCell ref="A12:B12"/>
    <mergeCell ref="E6:F6"/>
    <mergeCell ref="E11:F11"/>
    <mergeCell ref="A5:B5"/>
    <mergeCell ref="A8:B8"/>
    <mergeCell ref="E12:F12"/>
    <mergeCell ref="A11:B11"/>
    <mergeCell ref="E5:F5"/>
    <mergeCell ref="A3:F3"/>
    <mergeCell ref="E8:F8"/>
    <mergeCell ref="A6:B6"/>
  </mergeCells>
  <dataValidations count="1">
    <dataValidation type="list" sqref="C5" xr:uid="{00000000-0002-0000-03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1"/>
  <sheetViews>
    <sheetView zoomScaleNormal="100" workbookViewId="0">
      <selection activeCell="B11" sqref="B11"/>
    </sheetView>
  </sheetViews>
  <sheetFormatPr defaultColWidth="8.88671875" defaultRowHeight="14.4" x14ac:dyDescent="0.3"/>
  <cols>
    <col min="1" max="1" width="36" style="20" customWidth="1"/>
    <col min="2" max="2" width="38" style="20" customWidth="1"/>
    <col min="3" max="3" width="10" style="20" customWidth="1"/>
    <col min="4" max="4" width="34" style="20" customWidth="1"/>
    <col min="5" max="5" width="36" style="20" customWidth="1"/>
    <col min="6" max="6" width="32" style="20" customWidth="1"/>
    <col min="7" max="7" width="12" style="20" customWidth="1"/>
    <col min="8" max="8" width="34" style="20" customWidth="1"/>
    <col min="9" max="16" width="17" style="20" customWidth="1"/>
    <col min="17" max="17" width="12" style="20" customWidth="1"/>
    <col min="18" max="16384" width="8.88671875" style="20"/>
  </cols>
  <sheetData>
    <row r="1" spans="1:16" ht="37.950000000000003" customHeight="1" x14ac:dyDescent="0.3">
      <c r="A1" s="72" t="s">
        <v>216</v>
      </c>
      <c r="B1" s="68"/>
      <c r="C1" s="68"/>
      <c r="D1" s="68"/>
      <c r="E1" s="68"/>
      <c r="F1" s="68"/>
      <c r="G1" s="68"/>
      <c r="H1" s="68"/>
      <c r="I1" s="68"/>
      <c r="J1" s="68"/>
      <c r="K1" s="68"/>
      <c r="L1" s="68"/>
      <c r="M1" s="68"/>
      <c r="N1" s="68"/>
      <c r="O1" s="68"/>
      <c r="P1" s="68"/>
    </row>
    <row r="4" spans="1:16" ht="24" customHeight="1" x14ac:dyDescent="0.3">
      <c r="A4" s="67" t="s">
        <v>217</v>
      </c>
      <c r="B4" s="68"/>
      <c r="C4" s="68"/>
      <c r="D4" s="68"/>
      <c r="E4" s="67" t="s">
        <v>218</v>
      </c>
      <c r="F4" s="68"/>
      <c r="G4" s="68"/>
      <c r="H4" s="68"/>
    </row>
    <row r="5" spans="1:16" ht="19.95" customHeight="1" x14ac:dyDescent="0.3">
      <c r="A5" s="21" t="s">
        <v>219</v>
      </c>
      <c r="B5" s="22" t="s">
        <v>59</v>
      </c>
      <c r="C5" s="23"/>
      <c r="D5" s="24" t="s">
        <v>220</v>
      </c>
      <c r="E5" s="21" t="s">
        <v>221</v>
      </c>
      <c r="F5" s="25">
        <f>IF($B$6="100% Yield (0% Loss)", VLOOKUP($B$5, 'Crop Database'!$A$5:$W$34, 3, FALSE), IF($B$6="90% Yield (10% Loss)", VLOOKUP($B$5, 'Crop Database'!$A$5:$W$34, 5, FALSE), IF($B$6="75% Yield (25% Loss)", VLOOKUP($B$5, 'Crop Database'!$A$5:$W$34, 6, FALSE), VLOOKUP($B$5, 'Crop Database'!$A$5:$W$34, 7, FALSE))))</f>
        <v>8</v>
      </c>
      <c r="G5" s="23" t="s">
        <v>222</v>
      </c>
      <c r="H5" s="24" t="s">
        <v>223</v>
      </c>
    </row>
    <row r="6" spans="1:16" ht="19.95" customHeight="1" x14ac:dyDescent="0.3">
      <c r="A6" s="21" t="s">
        <v>224</v>
      </c>
      <c r="B6" s="22" t="s">
        <v>225</v>
      </c>
      <c r="C6" s="23"/>
      <c r="D6" s="24" t="s">
        <v>226</v>
      </c>
      <c r="E6" s="21" t="s">
        <v>227</v>
      </c>
      <c r="F6" s="25">
        <f>VLOOKUP($B$5, 'Crop Database'!$A$5:$W$34, 8, FALSE)</f>
        <v>28</v>
      </c>
      <c r="G6" s="23" t="s">
        <v>222</v>
      </c>
      <c r="H6" s="24" t="s">
        <v>228</v>
      </c>
    </row>
    <row r="7" spans="1:16" ht="19.95" customHeight="1" x14ac:dyDescent="0.3">
      <c r="A7" s="21" t="s">
        <v>229</v>
      </c>
      <c r="B7" s="22" t="s">
        <v>144</v>
      </c>
      <c r="C7" s="23" t="s">
        <v>230</v>
      </c>
      <c r="D7" s="24" t="s">
        <v>231</v>
      </c>
      <c r="E7" s="21" t="s">
        <v>232</v>
      </c>
      <c r="F7" s="26" t="str">
        <f>IF($B$13&lt;=F5, "SUITABLE NOW (Optimal Yield)", IF($B$13&lt;=F6, "RESTRICTED (Yield Loss)", "UNSUITABLE NOW (Too Salty)"))</f>
        <v>RESTRICTED (Yield Loss)</v>
      </c>
      <c r="G7" s="23" t="s">
        <v>233</v>
      </c>
      <c r="H7" s="24" t="s">
        <v>234</v>
      </c>
    </row>
    <row r="8" spans="1:16" ht="35.4" customHeight="1" x14ac:dyDescent="0.3">
      <c r="A8" s="21" t="s">
        <v>235</v>
      </c>
      <c r="B8" s="26" t="str">
        <f>VLOOKUP($B$5, 'Crop Database'!$A$5:$I$34, 9, FALSE)</f>
        <v>Oct</v>
      </c>
      <c r="C8" s="23" t="s">
        <v>230</v>
      </c>
      <c r="D8" s="24" t="s">
        <v>236</v>
      </c>
      <c r="E8" s="21" t="s">
        <v>237</v>
      </c>
      <c r="F8" s="26" t="str">
        <f>IF($B$13&lt;=F5, "Year 1 (Immediate)", IF(P39&lt;=F5, "Year 2", IF(P45&lt;=F5, "Year 3", IF(P51&lt;=F5, "Year 4", IF(P57&lt;=F5, "Year 5", IF(P63&lt;=F5, "Year 6", IF(P69&lt;=F5, "Year 7", IF(P75&lt;=F5, "Year 8", IF(P81&lt;=F5, "Year 9", IF(P87&lt;=F5, "Year 10", IF(ISNUMBER(F16), IF(F16&lt;=F5, "Year 10+ (Leaching In Progress)", "NEVER (Equilibrium " &amp; ROUND(F16,1) &amp; " dS/m &gt; Target " &amp; ROUND(F5,1) &amp; " dS/m)"), "UNLEACHED (No Percolation)")))))))))))</f>
        <v>Year 2</v>
      </c>
      <c r="G8" s="23" t="s">
        <v>238</v>
      </c>
      <c r="H8" s="24" t="s">
        <v>239</v>
      </c>
    </row>
    <row r="9" spans="1:16" ht="19.95" customHeight="1" x14ac:dyDescent="0.3">
      <c r="A9" s="21" t="s">
        <v>240</v>
      </c>
      <c r="B9" s="22" t="s">
        <v>241</v>
      </c>
      <c r="C9" s="23"/>
      <c r="D9" s="24" t="s">
        <v>242</v>
      </c>
      <c r="E9" s="21" t="s">
        <v>243</v>
      </c>
      <c r="F9" s="26" t="str">
        <f>IF(OR($B$9="[Auto-Select / Recommended Pioneer Crop]", $B$9=""), IF($B$13&gt;=35, "Salicornia (Glasswort)", IF($B$13&gt;=20, "Date Palm", IF($B$13&gt;=12, "Rye", "Barley"))), $B$9)</f>
        <v>Barley</v>
      </c>
      <c r="G9" s="23" t="s">
        <v>244</v>
      </c>
      <c r="H9" s="24" t="s">
        <v>245</v>
      </c>
    </row>
    <row r="10" spans="1:16" ht="43.2" customHeight="1" x14ac:dyDescent="0.3">
      <c r="A10" s="21" t="s">
        <v>246</v>
      </c>
      <c r="B10" s="22" t="s">
        <v>161</v>
      </c>
      <c r="C10" s="23"/>
      <c r="D10" s="24" t="s">
        <v>247</v>
      </c>
      <c r="E10" s="21" t="s">
        <v>248</v>
      </c>
      <c r="F10" s="26" t="str">
        <f>"Salt: " &amp; VLOOKUP($F$9, 'Crop Database'!$A$5:$AA$34, 25, FALSE) &amp; " | Water: " &amp; VLOOKUP($F$9, 'Crop Database'!$A$5:$AA$34, 27, FALSE)</f>
        <v>Salt: Cat 2: High Salinity Tolerant | Water: Cat 3: Moderate Water Use</v>
      </c>
      <c r="G10" s="23" t="s">
        <v>249</v>
      </c>
      <c r="H10" s="24" t="s">
        <v>250</v>
      </c>
    </row>
    <row r="11" spans="1:16" ht="67.95" customHeight="1" x14ac:dyDescent="0.3">
      <c r="A11" s="21" t="s">
        <v>251</v>
      </c>
      <c r="B11" s="22" t="s">
        <v>346</v>
      </c>
      <c r="C11" s="23"/>
      <c r="D11" s="24" t="s">
        <v>252</v>
      </c>
      <c r="E11" s="21" t="s">
        <v>253</v>
      </c>
      <c r="F11" s="26" t="str">
        <f>IF((SUM(E29:P29)+SUM(E25:P25))&lt;SUM(E24:P24), "WARNING: SEVERE CROP DROUGHT STRESS! Total Water Inflow (" &amp; TEXT(SUM(E29:P29)+SUM(E25:P25),"#,##0") &amp; " mm) &lt; Demand (" &amp; TEXT(SUM(E24:P24),"#,##0") &amp; " mm). Yield Loss Expected!", "OPTIMAL CROP WATER SUPPLY: 100% Crop Evapotranspiration Satisfied.")</f>
        <v>OPTIMAL CROP WATER SUPPLY: 100% Crop Evapotranspiration Satisfied.</v>
      </c>
      <c r="G11" s="23" t="s">
        <v>254</v>
      </c>
      <c r="H11" s="24" t="s">
        <v>255</v>
      </c>
    </row>
    <row r="12" spans="1:16" ht="19.95" customHeight="1" x14ac:dyDescent="0.3">
      <c r="A12" s="21" t="s">
        <v>256</v>
      </c>
      <c r="B12" s="26">
        <f>'Soil &amp; Climate Inputs'!$C$14</f>
        <v>373</v>
      </c>
      <c r="C12" s="23" t="s">
        <v>130</v>
      </c>
      <c r="D12" s="24" t="s">
        <v>257</v>
      </c>
      <c r="E12" s="21" t="s">
        <v>258</v>
      </c>
      <c r="F12" s="28">
        <f>IF($B$15="No Pre-Season Flushing", 0, IF($B$15="Manual Flushing Input", $B$16, MIN($B$16, MAX(0, ROUND(0.3 * 300 * ($B$13 - F5) / F5, 0)))))</f>
        <v>11</v>
      </c>
      <c r="G12" s="23" t="s">
        <v>130</v>
      </c>
      <c r="H12" s="24" t="s">
        <v>259</v>
      </c>
    </row>
    <row r="13" spans="1:16" ht="19.95" customHeight="1" x14ac:dyDescent="0.3">
      <c r="A13" s="21" t="s">
        <v>260</v>
      </c>
      <c r="B13" s="29">
        <v>9</v>
      </c>
      <c r="C13" s="23" t="s">
        <v>222</v>
      </c>
      <c r="D13" s="24" t="s">
        <v>261</v>
      </c>
      <c r="E13" s="21" t="s">
        <v>262</v>
      </c>
      <c r="F13" s="30">
        <f>ROUND(MIN(0.5, MAX(0.15, $B$14 / (5 * F5 - $B$14))), 3)</f>
        <v>0.15</v>
      </c>
      <c r="G13" s="23" t="s">
        <v>121</v>
      </c>
      <c r="H13" s="24" t="s">
        <v>263</v>
      </c>
    </row>
    <row r="14" spans="1:16" ht="19.95" customHeight="1" x14ac:dyDescent="0.3">
      <c r="A14" s="21" t="s">
        <v>264</v>
      </c>
      <c r="B14" s="29">
        <v>2</v>
      </c>
      <c r="C14" s="23" t="s">
        <v>222</v>
      </c>
      <c r="D14" s="24" t="s">
        <v>265</v>
      </c>
      <c r="E14" s="21" t="s">
        <v>266</v>
      </c>
      <c r="F14" s="28">
        <f>SUM(E29:P29)</f>
        <v>711</v>
      </c>
      <c r="G14" s="23" t="s">
        <v>267</v>
      </c>
      <c r="H14" s="24" t="s">
        <v>268</v>
      </c>
    </row>
    <row r="15" spans="1:16" ht="19.95" customHeight="1" x14ac:dyDescent="0.3">
      <c r="A15" s="21" t="s">
        <v>269</v>
      </c>
      <c r="B15" s="22" t="s">
        <v>90</v>
      </c>
      <c r="C15" s="23" t="s">
        <v>118</v>
      </c>
      <c r="D15" s="24" t="s">
        <v>270</v>
      </c>
      <c r="E15" s="21" t="s">
        <v>271</v>
      </c>
      <c r="F15" s="28">
        <f>F12</f>
        <v>11</v>
      </c>
      <c r="G15" s="23" t="s">
        <v>130</v>
      </c>
      <c r="H15" s="24" t="s">
        <v>272</v>
      </c>
    </row>
    <row r="16" spans="1:16" ht="19.95" customHeight="1" x14ac:dyDescent="0.3">
      <c r="A16" s="21" t="s">
        <v>273</v>
      </c>
      <c r="B16" s="27">
        <v>200</v>
      </c>
      <c r="C16" s="23" t="s">
        <v>130</v>
      </c>
      <c r="D16" s="24" t="s">
        <v>274</v>
      </c>
      <c r="E16" s="21" t="s">
        <v>275</v>
      </c>
      <c r="F16" s="25">
        <f>IF(SUM(E31:P31)&gt;0, ROUND((SUM(E29:P29)*$B$14)/(2*SUM(E31:P31)), 1), ROUND($B$13, 1))</f>
        <v>5</v>
      </c>
      <c r="G16" s="23" t="s">
        <v>222</v>
      </c>
      <c r="H16" s="24" t="s">
        <v>276</v>
      </c>
    </row>
    <row r="17" spans="1:16" ht="19.95" customHeight="1" x14ac:dyDescent="0.3">
      <c r="A17" s="21" t="s">
        <v>277</v>
      </c>
      <c r="B17" s="22" t="s">
        <v>155</v>
      </c>
      <c r="C17" s="23" t="s">
        <v>118</v>
      </c>
      <c r="D17" s="24" t="s">
        <v>278</v>
      </c>
    </row>
    <row r="18" spans="1:16" ht="19.95" customHeight="1" x14ac:dyDescent="0.3">
      <c r="A18" s="21" t="s">
        <v>279</v>
      </c>
      <c r="B18" s="26" t="str">
        <f>IF($B$7="Oct", "Sep", IF($B$7="Nov", "Oct", IF($B$7="Dec", "Nov", IF($B$7="Jan", "Dec", IF($B$7="Feb", "Jan", IF($B$7="Mar", "Feb", IF($B$7="Apr", "Mar", IF($B$7="May", "Apr", IF($B$7="Jun", "May", IF($B$7="Jul", "Jun", IF($B$7="Aug", "Jul", "Aug")))))))))))</f>
        <v>Sep</v>
      </c>
      <c r="C18" s="23" t="s">
        <v>118</v>
      </c>
      <c r="D18" s="24" t="s">
        <v>280</v>
      </c>
    </row>
    <row r="19" spans="1:16" ht="24" customHeight="1" x14ac:dyDescent="0.3">
      <c r="A19" s="67" t="s">
        <v>281</v>
      </c>
      <c r="B19" s="68"/>
      <c r="C19" s="68"/>
      <c r="D19" s="68"/>
      <c r="E19" s="68"/>
      <c r="F19" s="68"/>
      <c r="G19" s="68"/>
      <c r="H19" s="68"/>
      <c r="I19" s="68"/>
      <c r="J19" s="68"/>
      <c r="K19" s="68"/>
      <c r="L19" s="68"/>
      <c r="M19" s="68"/>
      <c r="N19" s="68"/>
      <c r="O19" s="68"/>
      <c r="P19" s="68"/>
    </row>
    <row r="20" spans="1:16" ht="24" customHeight="1" x14ac:dyDescent="0.3">
      <c r="A20" s="31" t="s">
        <v>282</v>
      </c>
      <c r="B20" s="31" t="s">
        <v>283</v>
      </c>
      <c r="C20" s="31" t="s">
        <v>284</v>
      </c>
      <c r="D20" s="31" t="s">
        <v>285</v>
      </c>
      <c r="E20" s="31" t="s">
        <v>144</v>
      </c>
      <c r="F20" s="31" t="s">
        <v>145</v>
      </c>
      <c r="G20" s="31" t="s">
        <v>146</v>
      </c>
      <c r="H20" s="31" t="s">
        <v>147</v>
      </c>
      <c r="I20" s="31" t="s">
        <v>148</v>
      </c>
      <c r="J20" s="31" t="s">
        <v>149</v>
      </c>
      <c r="K20" s="31" t="s">
        <v>150</v>
      </c>
      <c r="L20" s="31" t="s">
        <v>151</v>
      </c>
      <c r="M20" s="31" t="s">
        <v>152</v>
      </c>
      <c r="N20" s="31" t="s">
        <v>153</v>
      </c>
      <c r="O20" s="31" t="s">
        <v>154</v>
      </c>
      <c r="P20" s="31" t="s">
        <v>155</v>
      </c>
    </row>
    <row r="21" spans="1:16" ht="19.95" customHeight="1" x14ac:dyDescent="0.3">
      <c r="A21" s="21" t="s">
        <v>10</v>
      </c>
      <c r="B21" s="23" t="s">
        <v>286</v>
      </c>
      <c r="C21" s="32" t="s">
        <v>287</v>
      </c>
      <c r="D21" s="24" t="s">
        <v>288</v>
      </c>
      <c r="E21" s="33" t="str">
        <f>IF($B$13&lt;=F5, $B$5, $F$9)</f>
        <v>Barley</v>
      </c>
      <c r="F21" s="33" t="str">
        <f>IF($B$13&lt;=F5, $B$5, $F$9)</f>
        <v>Barley</v>
      </c>
      <c r="G21" s="33" t="str">
        <f>IF($B$13&lt;=F5, $B$5, $F$9)</f>
        <v>Barley</v>
      </c>
      <c r="H21" s="33" t="str">
        <f>IF($B$13&lt;=F5, $B$5, $F$9)</f>
        <v>Barley</v>
      </c>
      <c r="I21" s="33" t="str">
        <f>IF($B$13&lt;=F5, $B$5, $F$9)</f>
        <v>Barley</v>
      </c>
      <c r="J21" s="33" t="str">
        <f>IF($B$13&lt;=F5, $B$5, $F$9)</f>
        <v>Barley</v>
      </c>
      <c r="K21" s="33" t="str">
        <f>IF($B$13&lt;=F5, $B$5, $F$9)</f>
        <v>Barley</v>
      </c>
      <c r="L21" s="33" t="str">
        <f>IF($B$13&lt;=F5, $B$5, $F$9)</f>
        <v>Barley</v>
      </c>
      <c r="M21" s="33" t="str">
        <f>IF($B$13&lt;=F5, $B$5, $F$9)</f>
        <v>Barley</v>
      </c>
      <c r="N21" s="33" t="str">
        <f>IF($B$13&lt;=F5, $B$5, $F$9)</f>
        <v>Barley</v>
      </c>
      <c r="O21" s="33" t="str">
        <f>IF($B$13&lt;=F5, $B$5, $F$9)</f>
        <v>Barley</v>
      </c>
      <c r="P21" s="33" t="str">
        <f>IF($B$13&lt;=F5, $B$5, $F$9)</f>
        <v>Barley</v>
      </c>
    </row>
    <row r="22" spans="1:16" ht="19.95" customHeight="1" x14ac:dyDescent="0.3">
      <c r="A22" s="34" t="s">
        <v>289</v>
      </c>
      <c r="B22" s="23" t="s">
        <v>130</v>
      </c>
      <c r="C22" s="35">
        <f>SUM(E22:P22)</f>
        <v>2663</v>
      </c>
      <c r="D22" s="24" t="s">
        <v>290</v>
      </c>
      <c r="E22" s="36">
        <f>INDEX('Soil &amp; Climate Inputs'!$C$19:$N$30, MATCH($B$10, 'Soil &amp; Climate Inputs'!$A$19:$A$30, 0), 1)</f>
        <v>226</v>
      </c>
      <c r="F22" s="36">
        <f>INDEX('Soil &amp; Climate Inputs'!$C$19:$N$30, MATCH($B$10, 'Soil &amp; Climate Inputs'!$A$19:$A$30, 0), 2)</f>
        <v>145</v>
      </c>
      <c r="G22" s="36">
        <f>INDEX('Soil &amp; Climate Inputs'!$C$19:$N$30, MATCH($B$10, 'Soil &amp; Climate Inputs'!$A$19:$A$30, 0), 3)</f>
        <v>121</v>
      </c>
      <c r="H22" s="36">
        <f>INDEX('Soil &amp; Climate Inputs'!$C$19:$N$30, MATCH($B$10, 'Soil &amp; Climate Inputs'!$A$19:$A$30, 0), 4)</f>
        <v>121</v>
      </c>
      <c r="I22" s="36">
        <f>INDEX('Soil &amp; Climate Inputs'!$C$19:$N$30, MATCH($B$10, 'Soil &amp; Climate Inputs'!$A$19:$A$30, 0), 5)</f>
        <v>139</v>
      </c>
      <c r="J22" s="36">
        <f>INDEX('Soil &amp; Climate Inputs'!$C$19:$N$30, MATCH($B$10, 'Soil &amp; Climate Inputs'!$A$19:$A$30, 0), 6)</f>
        <v>200</v>
      </c>
      <c r="K22" s="36">
        <f>INDEX('Soil &amp; Climate Inputs'!$C$19:$N$30, MATCH($B$10, 'Soil &amp; Climate Inputs'!$A$19:$A$30, 0), 7)</f>
        <v>247</v>
      </c>
      <c r="L22" s="36">
        <f>INDEX('Soil &amp; Climate Inputs'!$C$19:$N$30, MATCH($B$10, 'Soil &amp; Climate Inputs'!$A$19:$A$30, 0), 8)</f>
        <v>310</v>
      </c>
      <c r="M22" s="36">
        <f>INDEX('Soil &amp; Climate Inputs'!$C$19:$N$30, MATCH($B$10, 'Soil &amp; Climate Inputs'!$A$19:$A$30, 0), 9)</f>
        <v>302</v>
      </c>
      <c r="N22" s="36">
        <f>INDEX('Soil &amp; Climate Inputs'!$C$19:$N$30, MATCH($B$10, 'Soil &amp; Climate Inputs'!$A$19:$A$30, 0), 10)</f>
        <v>313</v>
      </c>
      <c r="O22" s="36">
        <f>INDEX('Soil &amp; Climate Inputs'!$C$19:$N$30, MATCH($B$10, 'Soil &amp; Climate Inputs'!$A$19:$A$30, 0), 11)</f>
        <v>283</v>
      </c>
      <c r="P22" s="36">
        <f>INDEX('Soil &amp; Climate Inputs'!$C$19:$N$30, MATCH($B$10, 'Soil &amp; Climate Inputs'!$A$19:$A$30, 0), 12)</f>
        <v>256</v>
      </c>
    </row>
    <row r="23" spans="1:16" ht="19.95" customHeight="1" x14ac:dyDescent="0.3">
      <c r="A23" s="34" t="s">
        <v>291</v>
      </c>
      <c r="B23" s="23" t="s">
        <v>292</v>
      </c>
      <c r="C23" s="37">
        <f>AVERAGE(E23:P23)</f>
        <v>0.36249999999999999</v>
      </c>
      <c r="D23" s="24" t="s">
        <v>293</v>
      </c>
      <c r="E23" s="38">
        <f>VLOOKUP(E21, 'Crop Database'!$A$5:$W$34, 11 + MOD(1 - 1 - (MATCH($B$7, 'Soil &amp; Climate Inputs'!$C$18:$N$18, 0) - MATCH(VLOOKUP(E21, 'Crop Database'!$A$5:$W$34, 9, FALSE), 'Soil &amp; Climate Inputs'!$C$18:$N$18, 0)), 12) + 1, FALSE)</f>
        <v>0.3</v>
      </c>
      <c r="F23" s="38">
        <f>VLOOKUP(E21, 'Crop Database'!$A$5:$W$34, 11 + MOD(2 - 1 - (MATCH($B$7, 'Soil &amp; Climate Inputs'!$C$18:$N$18, 0) - MATCH(VLOOKUP(E21, 'Crop Database'!$A$5:$W$34, 9, FALSE), 'Soil &amp; Climate Inputs'!$C$18:$N$18, 0)), 12) + 1, FALSE)</f>
        <v>0.7</v>
      </c>
      <c r="G23" s="38">
        <f>VLOOKUP(E21, 'Crop Database'!$A$5:$W$34, 11 + MOD(3 - 1 - (MATCH($B$7, 'Soil &amp; Climate Inputs'!$C$18:$N$18, 0) - MATCH(VLOOKUP(E21, 'Crop Database'!$A$5:$W$34, 9, FALSE), 'Soil &amp; Climate Inputs'!$C$18:$N$18, 0)), 12) + 1, FALSE)</f>
        <v>1.1499999999999999</v>
      </c>
      <c r="H23" s="38">
        <f>VLOOKUP(E21, 'Crop Database'!$A$5:$W$34, 11 + MOD(4 - 1 - (MATCH($B$7, 'Soil &amp; Climate Inputs'!$C$18:$N$18, 0) - MATCH(VLOOKUP(E21, 'Crop Database'!$A$5:$W$34, 9, FALSE), 'Soil &amp; Climate Inputs'!$C$18:$N$18, 0)), 12) + 1, FALSE)</f>
        <v>1.1499999999999999</v>
      </c>
      <c r="I23" s="38">
        <f>VLOOKUP(E21, 'Crop Database'!$A$5:$W$34, 11 + MOD(5 - 1 - (MATCH($B$7, 'Soil &amp; Climate Inputs'!$C$18:$N$18, 0) - MATCH(VLOOKUP(E21, 'Crop Database'!$A$5:$W$34, 9, FALSE), 'Soil &amp; Climate Inputs'!$C$18:$N$18, 0)), 12) + 1, FALSE)</f>
        <v>0.75</v>
      </c>
      <c r="J23" s="38">
        <f>VLOOKUP(E21, 'Crop Database'!$A$5:$W$34, 11 + MOD(6 - 1 - (MATCH($B$7, 'Soil &amp; Climate Inputs'!$C$18:$N$18, 0) - MATCH(VLOOKUP(E21, 'Crop Database'!$A$5:$W$34, 9, FALSE), 'Soil &amp; Climate Inputs'!$C$18:$N$18, 0)), 12) + 1, FALSE)</f>
        <v>0.3</v>
      </c>
      <c r="K23" s="38">
        <f>VLOOKUP(E21, 'Crop Database'!$A$5:$W$34, 11 + MOD(7 - 1 - (MATCH($B$7, 'Soil &amp; Climate Inputs'!$C$18:$N$18, 0) - MATCH(VLOOKUP(E21, 'Crop Database'!$A$5:$W$34, 9, FALSE), 'Soil &amp; Climate Inputs'!$C$18:$N$18, 0)), 12) + 1, FALSE)</f>
        <v>0</v>
      </c>
      <c r="L23" s="38">
        <f>VLOOKUP(E21, 'Crop Database'!$A$5:$W$34, 11 + MOD(8 - 1 - (MATCH($B$7, 'Soil &amp; Climate Inputs'!$C$18:$N$18, 0) - MATCH(VLOOKUP(E21, 'Crop Database'!$A$5:$W$34, 9, FALSE), 'Soil &amp; Climate Inputs'!$C$18:$N$18, 0)), 12) + 1, FALSE)</f>
        <v>0</v>
      </c>
      <c r="M23" s="38">
        <f>VLOOKUP(E21, 'Crop Database'!$A$5:$W$34, 11 + MOD(9 - 1 - (MATCH($B$7, 'Soil &amp; Climate Inputs'!$C$18:$N$18, 0) - MATCH(VLOOKUP(E21, 'Crop Database'!$A$5:$W$34, 9, FALSE), 'Soil &amp; Climate Inputs'!$C$18:$N$18, 0)), 12) + 1, FALSE)</f>
        <v>0</v>
      </c>
      <c r="N23" s="38">
        <f>VLOOKUP(E21, 'Crop Database'!$A$5:$W$34, 11 + MOD(10 - 1 - (MATCH($B$7, 'Soil &amp; Climate Inputs'!$C$18:$N$18, 0) - MATCH(VLOOKUP(E21, 'Crop Database'!$A$5:$W$34, 9, FALSE), 'Soil &amp; Climate Inputs'!$C$18:$N$18, 0)), 12) + 1, FALSE)</f>
        <v>0</v>
      </c>
      <c r="O23" s="38">
        <f>VLOOKUP(E21, 'Crop Database'!$A$5:$W$34, 11 + MOD(11 - 1 - (MATCH($B$7, 'Soil &amp; Climate Inputs'!$C$18:$N$18, 0) - MATCH(VLOOKUP(E21, 'Crop Database'!$A$5:$W$34, 9, FALSE), 'Soil &amp; Climate Inputs'!$C$18:$N$18, 0)), 12) + 1, FALSE)</f>
        <v>0</v>
      </c>
      <c r="P23" s="38">
        <f>VLOOKUP(E21, 'Crop Database'!$A$5:$W$34, 11 + MOD(12 - 1 - (MATCH($B$7, 'Soil &amp; Climate Inputs'!$C$18:$N$18, 0) - MATCH(VLOOKUP(E21, 'Crop Database'!$A$5:$W$34, 9, FALSE), 'Soil &amp; Climate Inputs'!$C$18:$N$18, 0)), 12) + 1, FALSE)</f>
        <v>0</v>
      </c>
    </row>
    <row r="24" spans="1:16" ht="19.95" customHeight="1" x14ac:dyDescent="0.3">
      <c r="A24" s="21" t="s">
        <v>294</v>
      </c>
      <c r="B24" s="23" t="s">
        <v>130</v>
      </c>
      <c r="C24" s="39">
        <f t="shared" ref="C24:C31" si="0">SUM(E24:P24)</f>
        <v>611.84999999999991</v>
      </c>
      <c r="D24" s="24" t="s">
        <v>295</v>
      </c>
      <c r="E24" s="39">
        <f t="shared" ref="E24:P24" si="1">E22*E23</f>
        <v>67.8</v>
      </c>
      <c r="F24" s="39">
        <f t="shared" si="1"/>
        <v>101.5</v>
      </c>
      <c r="G24" s="39">
        <f t="shared" si="1"/>
        <v>139.14999999999998</v>
      </c>
      <c r="H24" s="39">
        <f t="shared" si="1"/>
        <v>139.14999999999998</v>
      </c>
      <c r="I24" s="39">
        <f t="shared" si="1"/>
        <v>104.25</v>
      </c>
      <c r="J24" s="39">
        <f t="shared" si="1"/>
        <v>60</v>
      </c>
      <c r="K24" s="39">
        <f t="shared" si="1"/>
        <v>0</v>
      </c>
      <c r="L24" s="39">
        <f t="shared" si="1"/>
        <v>0</v>
      </c>
      <c r="M24" s="39">
        <f t="shared" si="1"/>
        <v>0</v>
      </c>
      <c r="N24" s="39">
        <f t="shared" si="1"/>
        <v>0</v>
      </c>
      <c r="O24" s="39">
        <f t="shared" si="1"/>
        <v>0</v>
      </c>
      <c r="P24" s="39">
        <f t="shared" si="1"/>
        <v>0</v>
      </c>
    </row>
    <row r="25" spans="1:16" ht="19.95" customHeight="1" x14ac:dyDescent="0.3">
      <c r="A25" s="34" t="s">
        <v>296</v>
      </c>
      <c r="B25" s="23" t="s">
        <v>130</v>
      </c>
      <c r="C25" s="35">
        <f t="shared" si="0"/>
        <v>43</v>
      </c>
      <c r="D25" s="24" t="s">
        <v>290</v>
      </c>
      <c r="E25" s="36">
        <f>INDEX('Soil &amp; Climate Inputs'!$C$19:$N$30, MATCH($B$10, 'Soil &amp; Climate Inputs'!$A$19:$A$30, 0) + 1, 1)</f>
        <v>0</v>
      </c>
      <c r="F25" s="36">
        <f>INDEX('Soil &amp; Climate Inputs'!$C$19:$N$30, MATCH($B$10, 'Soil &amp; Climate Inputs'!$A$19:$A$30, 0) + 1, 2)</f>
        <v>0</v>
      </c>
      <c r="G25" s="36">
        <f>INDEX('Soil &amp; Climate Inputs'!$C$19:$N$30, MATCH($B$10, 'Soil &amp; Climate Inputs'!$A$19:$A$30, 0) + 1, 3)</f>
        <v>0</v>
      </c>
      <c r="H25" s="36">
        <f>INDEX('Soil &amp; Climate Inputs'!$C$19:$N$30, MATCH($B$10, 'Soil &amp; Climate Inputs'!$A$19:$A$30, 0) + 1, 4)</f>
        <v>3</v>
      </c>
      <c r="I25" s="36">
        <f>INDEX('Soil &amp; Climate Inputs'!$C$19:$N$30, MATCH($B$10, 'Soil &amp; Climate Inputs'!$A$19:$A$30, 0) + 1, 5)</f>
        <v>1</v>
      </c>
      <c r="J25" s="36">
        <f>INDEX('Soil &amp; Climate Inputs'!$C$19:$N$30, MATCH($B$10, 'Soil &amp; Climate Inputs'!$A$19:$A$30, 0) + 1, 6)</f>
        <v>12</v>
      </c>
      <c r="K25" s="36">
        <f>INDEX('Soil &amp; Climate Inputs'!$C$19:$N$30, MATCH($B$10, 'Soil &amp; Climate Inputs'!$A$19:$A$30, 0) + 1, 7)</f>
        <v>17</v>
      </c>
      <c r="L25" s="36">
        <f>INDEX('Soil &amp; Climate Inputs'!$C$19:$N$30, MATCH($B$10, 'Soil &amp; Climate Inputs'!$A$19:$A$30, 0) + 1, 8)</f>
        <v>6</v>
      </c>
      <c r="M25" s="36">
        <f>INDEX('Soil &amp; Climate Inputs'!$C$19:$N$30, MATCH($B$10, 'Soil &amp; Climate Inputs'!$A$19:$A$30, 0) + 1, 9)</f>
        <v>0</v>
      </c>
      <c r="N25" s="36">
        <f>INDEX('Soil &amp; Climate Inputs'!$C$19:$N$30, MATCH($B$10, 'Soil &amp; Climate Inputs'!$A$19:$A$30, 0) + 1, 10)</f>
        <v>0</v>
      </c>
      <c r="O25" s="36">
        <f>INDEX('Soil &amp; Climate Inputs'!$C$19:$N$30, MATCH($B$10, 'Soil &amp; Climate Inputs'!$A$19:$A$30, 0) + 1, 11)</f>
        <v>2</v>
      </c>
      <c r="P25" s="36">
        <f>INDEX('Soil &amp; Climate Inputs'!$C$19:$N$30, MATCH($B$10, 'Soil &amp; Climate Inputs'!$A$19:$A$30, 0) + 1, 12)</f>
        <v>2</v>
      </c>
    </row>
    <row r="26" spans="1:16" ht="19.95" customHeight="1" x14ac:dyDescent="0.3">
      <c r="A26" s="34" t="s">
        <v>297</v>
      </c>
      <c r="B26" s="23" t="s">
        <v>130</v>
      </c>
      <c r="C26" s="35">
        <f t="shared" si="0"/>
        <v>595.84999999999991</v>
      </c>
      <c r="D26" s="24" t="s">
        <v>298</v>
      </c>
      <c r="E26" s="36">
        <f t="shared" ref="E26:P26" si="2">MAX(0, E24-E25)</f>
        <v>67.8</v>
      </c>
      <c r="F26" s="36">
        <f t="shared" si="2"/>
        <v>101.5</v>
      </c>
      <c r="G26" s="36">
        <f t="shared" si="2"/>
        <v>139.14999999999998</v>
      </c>
      <c r="H26" s="36">
        <f t="shared" si="2"/>
        <v>136.14999999999998</v>
      </c>
      <c r="I26" s="36">
        <f t="shared" si="2"/>
        <v>103.25</v>
      </c>
      <c r="J26" s="36">
        <f t="shared" si="2"/>
        <v>48</v>
      </c>
      <c r="K26" s="36">
        <f t="shared" si="2"/>
        <v>0</v>
      </c>
      <c r="L26" s="36">
        <f t="shared" si="2"/>
        <v>0</v>
      </c>
      <c r="M26" s="36">
        <f t="shared" si="2"/>
        <v>0</v>
      </c>
      <c r="N26" s="36">
        <f t="shared" si="2"/>
        <v>0</v>
      </c>
      <c r="O26" s="36">
        <f t="shared" si="2"/>
        <v>0</v>
      </c>
      <c r="P26" s="36">
        <f t="shared" si="2"/>
        <v>0</v>
      </c>
    </row>
    <row r="27" spans="1:16" ht="19.95" customHeight="1" x14ac:dyDescent="0.3">
      <c r="A27" s="21" t="s">
        <v>299</v>
      </c>
      <c r="B27" s="23" t="s">
        <v>130</v>
      </c>
      <c r="C27" s="35">
        <f t="shared" si="0"/>
        <v>700</v>
      </c>
      <c r="D27" s="24" t="s">
        <v>300</v>
      </c>
      <c r="E27" s="40">
        <f>IF($B$13&gt;VLOOKUP(E21, 'Crop Database'!$A$5:$W$34, 8, FALSE), 0, ROUND(E26 / (1 - $F$13), 0))</f>
        <v>80</v>
      </c>
      <c r="F27" s="40">
        <f>IF(E39&gt;VLOOKUP(F21, 'Crop Database'!$A$5:$W$34, 8, FALSE), 0, ROUND(F26 / (1 - $F$13), 0))</f>
        <v>119</v>
      </c>
      <c r="G27" s="40">
        <f>IF(F39&gt;VLOOKUP(G21, 'Crop Database'!$A$5:$W$34, 8, FALSE), 0, ROUND(G26 / (1 - $F$13), 0))</f>
        <v>164</v>
      </c>
      <c r="H27" s="40">
        <f>IF(G39&gt;VLOOKUP(H21, 'Crop Database'!$A$5:$W$34, 8, FALSE), 0, ROUND(H26 / (1 - $F$13), 0))</f>
        <v>160</v>
      </c>
      <c r="I27" s="40">
        <f>IF(H39&gt;VLOOKUP(I21, 'Crop Database'!$A$5:$W$34, 8, FALSE), 0, ROUND(I26 / (1 - $F$13), 0))</f>
        <v>121</v>
      </c>
      <c r="J27" s="40">
        <f>IF(I39&gt;VLOOKUP(J21, 'Crop Database'!$A$5:$W$34, 8, FALSE), 0, ROUND(J26 / (1 - $F$13), 0))</f>
        <v>56</v>
      </c>
      <c r="K27" s="40">
        <f>IF(J39&gt;VLOOKUP(K21, 'Crop Database'!$A$5:$W$34, 8, FALSE), 0, ROUND(K26 / (1 - $F$13), 0))</f>
        <v>0</v>
      </c>
      <c r="L27" s="40">
        <f>IF(K39&gt;VLOOKUP(L21, 'Crop Database'!$A$5:$W$34, 8, FALSE), 0, ROUND(L26 / (1 - $F$13), 0))</f>
        <v>0</v>
      </c>
      <c r="M27" s="40">
        <f>IF(L39&gt;VLOOKUP(M21, 'Crop Database'!$A$5:$W$34, 8, FALSE), 0, ROUND(M26 / (1 - $F$13), 0))</f>
        <v>0</v>
      </c>
      <c r="N27" s="40">
        <f>IF(M39&gt;VLOOKUP(N21, 'Crop Database'!$A$5:$W$34, 8, FALSE), 0, ROUND(N26 / (1 - $F$13), 0))</f>
        <v>0</v>
      </c>
      <c r="O27" s="40">
        <f>IF(N39&gt;VLOOKUP(O21, 'Crop Database'!$A$5:$W$34, 8, FALSE), 0, ROUND(O26 / (1 - $F$13), 0))</f>
        <v>0</v>
      </c>
      <c r="P27" s="40">
        <f>IF(O39&gt;VLOOKUP(P21, 'Crop Database'!$A$5:$W$34, 8, FALSE), 0, ROUND(P26 / (1 - $F$13), 0))</f>
        <v>0</v>
      </c>
    </row>
    <row r="28" spans="1:16" ht="19.95" customHeight="1" x14ac:dyDescent="0.3">
      <c r="A28" s="34" t="s">
        <v>301</v>
      </c>
      <c r="B28" s="23" t="s">
        <v>130</v>
      </c>
      <c r="C28" s="35">
        <f t="shared" si="0"/>
        <v>0</v>
      </c>
      <c r="D28" s="24" t="s">
        <v>302</v>
      </c>
      <c r="E28" s="41">
        <v>0</v>
      </c>
      <c r="F28" s="41">
        <v>0</v>
      </c>
      <c r="G28" s="41">
        <v>0</v>
      </c>
      <c r="H28" s="41">
        <v>0</v>
      </c>
      <c r="I28" s="41">
        <v>0</v>
      </c>
      <c r="J28" s="41">
        <v>0</v>
      </c>
      <c r="K28" s="41">
        <v>0</v>
      </c>
      <c r="L28" s="41">
        <v>0</v>
      </c>
      <c r="M28" s="41">
        <v>0</v>
      </c>
      <c r="N28" s="41">
        <v>0</v>
      </c>
      <c r="O28" s="41">
        <v>0</v>
      </c>
      <c r="P28" s="41">
        <v>0</v>
      </c>
    </row>
    <row r="29" spans="1:16" ht="19.95" customHeight="1" x14ac:dyDescent="0.3">
      <c r="A29" s="21" t="s">
        <v>303</v>
      </c>
      <c r="B29" s="23" t="s">
        <v>130</v>
      </c>
      <c r="C29" s="39">
        <f t="shared" si="0"/>
        <v>711</v>
      </c>
      <c r="D29" s="24" t="s">
        <v>304</v>
      </c>
      <c r="E29" s="42">
        <f t="shared" ref="E29:P29" si="3">IF(LEFT($B$11,7)="Plant &amp;", ROUND(E26 / (1 - $F$13), 0), IF(LEFT($B$11,13)="Plant-Focused", ROUND(E26, 0), IF(LEFT($B$11,7)="Rainfed", 0, E28))) + IF(E20=$B$18, $F$15, 0)</f>
        <v>80</v>
      </c>
      <c r="F29" s="42">
        <f t="shared" si="3"/>
        <v>119</v>
      </c>
      <c r="G29" s="42">
        <f t="shared" si="3"/>
        <v>164</v>
      </c>
      <c r="H29" s="42">
        <f t="shared" si="3"/>
        <v>160</v>
      </c>
      <c r="I29" s="42">
        <f t="shared" si="3"/>
        <v>121</v>
      </c>
      <c r="J29" s="42">
        <f t="shared" si="3"/>
        <v>56</v>
      </c>
      <c r="K29" s="42">
        <f t="shared" si="3"/>
        <v>0</v>
      </c>
      <c r="L29" s="42">
        <f t="shared" si="3"/>
        <v>0</v>
      </c>
      <c r="M29" s="42">
        <f t="shared" si="3"/>
        <v>0</v>
      </c>
      <c r="N29" s="42">
        <f t="shared" si="3"/>
        <v>0</v>
      </c>
      <c r="O29" s="42">
        <f t="shared" si="3"/>
        <v>0</v>
      </c>
      <c r="P29" s="42">
        <f t="shared" si="3"/>
        <v>11</v>
      </c>
    </row>
    <row r="30" spans="1:16" ht="19.95" customHeight="1" x14ac:dyDescent="0.3">
      <c r="A30" s="34" t="s">
        <v>305</v>
      </c>
      <c r="B30" s="23" t="s">
        <v>130</v>
      </c>
      <c r="C30" s="35">
        <f t="shared" si="0"/>
        <v>0</v>
      </c>
      <c r="D30" s="24" t="s">
        <v>306</v>
      </c>
      <c r="E30" s="36">
        <v>0</v>
      </c>
      <c r="F30" s="36">
        <v>0</v>
      </c>
      <c r="G30" s="36">
        <v>0</v>
      </c>
      <c r="H30" s="36">
        <v>0</v>
      </c>
      <c r="I30" s="36">
        <v>0</v>
      </c>
      <c r="J30" s="36">
        <v>0</v>
      </c>
      <c r="K30" s="36">
        <v>0</v>
      </c>
      <c r="L30" s="36">
        <v>0</v>
      </c>
      <c r="M30" s="36">
        <v>0</v>
      </c>
      <c r="N30" s="36">
        <v>0</v>
      </c>
      <c r="O30" s="36">
        <v>0</v>
      </c>
      <c r="P30" s="36">
        <v>0</v>
      </c>
    </row>
    <row r="31" spans="1:16" ht="19.95" customHeight="1" x14ac:dyDescent="0.3">
      <c r="A31" s="21" t="s">
        <v>307</v>
      </c>
      <c r="B31" s="23" t="s">
        <v>130</v>
      </c>
      <c r="C31" s="39">
        <f t="shared" si="0"/>
        <v>142.15000000000003</v>
      </c>
      <c r="D31" s="24" t="s">
        <v>308</v>
      </c>
      <c r="E31" s="39">
        <f t="shared" ref="E31:P31" si="4">MAX(0, E29+E25-E24-E30)</f>
        <v>12.200000000000003</v>
      </c>
      <c r="F31" s="39">
        <f t="shared" si="4"/>
        <v>17.5</v>
      </c>
      <c r="G31" s="39">
        <f t="shared" si="4"/>
        <v>24.850000000000023</v>
      </c>
      <c r="H31" s="39">
        <f t="shared" si="4"/>
        <v>23.850000000000023</v>
      </c>
      <c r="I31" s="39">
        <f t="shared" si="4"/>
        <v>17.75</v>
      </c>
      <c r="J31" s="39">
        <f t="shared" si="4"/>
        <v>8</v>
      </c>
      <c r="K31" s="39">
        <f t="shared" si="4"/>
        <v>17</v>
      </c>
      <c r="L31" s="39">
        <f t="shared" si="4"/>
        <v>6</v>
      </c>
      <c r="M31" s="39">
        <f t="shared" si="4"/>
        <v>0</v>
      </c>
      <c r="N31" s="39">
        <f t="shared" si="4"/>
        <v>0</v>
      </c>
      <c r="O31" s="39">
        <f t="shared" si="4"/>
        <v>2</v>
      </c>
      <c r="P31" s="39">
        <f t="shared" si="4"/>
        <v>13</v>
      </c>
    </row>
    <row r="34" spans="1:17" ht="24" customHeight="1" x14ac:dyDescent="0.3">
      <c r="A34" s="67" t="s">
        <v>309</v>
      </c>
      <c r="B34" s="68"/>
      <c r="C34" s="68"/>
      <c r="D34" s="68"/>
      <c r="E34" s="68"/>
      <c r="F34" s="68"/>
      <c r="G34" s="68"/>
      <c r="H34" s="68"/>
      <c r="I34" s="68"/>
      <c r="J34" s="68"/>
      <c r="K34" s="68"/>
      <c r="L34" s="68"/>
      <c r="M34" s="68"/>
      <c r="N34" s="68"/>
      <c r="O34" s="68"/>
      <c r="P34" s="68"/>
    </row>
    <row r="35" spans="1:17" ht="24" customHeight="1" x14ac:dyDescent="0.3">
      <c r="A35" s="31" t="s">
        <v>310</v>
      </c>
      <c r="B35" s="31" t="s">
        <v>311</v>
      </c>
      <c r="C35" s="31" t="s">
        <v>283</v>
      </c>
      <c r="D35" s="31" t="s">
        <v>312</v>
      </c>
      <c r="E35" s="31" t="s">
        <v>313</v>
      </c>
      <c r="F35" s="31" t="s">
        <v>144</v>
      </c>
      <c r="G35" s="31" t="s">
        <v>145</v>
      </c>
      <c r="H35" s="31" t="s">
        <v>146</v>
      </c>
      <c r="I35" s="31" t="s">
        <v>147</v>
      </c>
      <c r="J35" s="31" t="s">
        <v>148</v>
      </c>
      <c r="K35" s="31" t="s">
        <v>149</v>
      </c>
      <c r="L35" s="31" t="s">
        <v>150</v>
      </c>
      <c r="M35" s="31" t="s">
        <v>151</v>
      </c>
      <c r="N35" s="31" t="s">
        <v>152</v>
      </c>
      <c r="O35" s="31" t="s">
        <v>153</v>
      </c>
      <c r="P35" s="31" t="s">
        <v>154</v>
      </c>
      <c r="Q35" s="31" t="s">
        <v>155</v>
      </c>
    </row>
    <row r="36" spans="1:17" ht="19.95" customHeight="1" x14ac:dyDescent="0.3">
      <c r="A36" s="69" t="s">
        <v>314</v>
      </c>
      <c r="B36" s="21" t="s">
        <v>315</v>
      </c>
      <c r="C36" s="23" t="s">
        <v>316</v>
      </c>
      <c r="D36" s="35">
        <f>AVERAGE(E36:P36)</f>
        <v>6260.1987507699923</v>
      </c>
      <c r="E36" s="36">
        <f>2 * $B$13 * $B$12</f>
        <v>6714</v>
      </c>
      <c r="F36" s="36">
        <f t="shared" ref="F36:P36" si="5">E38</f>
        <v>6655.3590081772618</v>
      </c>
      <c r="G36" s="36">
        <f t="shared" si="5"/>
        <v>6582.8120988305636</v>
      </c>
      <c r="H36" s="36">
        <f t="shared" si="5"/>
        <v>6475.8162354176047</v>
      </c>
      <c r="I36" s="36">
        <f t="shared" si="5"/>
        <v>6384.6602512266327</v>
      </c>
      <c r="J36" s="36">
        <f t="shared" si="5"/>
        <v>6324.2694965051332</v>
      </c>
      <c r="K36" s="36">
        <f t="shared" si="5"/>
        <v>6300.8791623617881</v>
      </c>
      <c r="L36" s="36">
        <f t="shared" si="5"/>
        <v>6020.1060411032022</v>
      </c>
      <c r="M36" s="36">
        <f t="shared" si="5"/>
        <v>5924.0405191707041</v>
      </c>
      <c r="N36" s="36">
        <f t="shared" si="5"/>
        <v>5924.0405191707041</v>
      </c>
      <c r="O36" s="36">
        <f t="shared" si="5"/>
        <v>5924.0405191707041</v>
      </c>
      <c r="P36" s="36">
        <f t="shared" si="5"/>
        <v>5892.3611581056202</v>
      </c>
    </row>
    <row r="37" spans="1:17" ht="19.95" customHeight="1" x14ac:dyDescent="0.3">
      <c r="A37" s="70"/>
      <c r="B37" s="34" t="s">
        <v>317</v>
      </c>
      <c r="C37" s="23" t="s">
        <v>316</v>
      </c>
      <c r="D37" s="35">
        <f>SUM(E37:P37)</f>
        <v>-1001.862017270857</v>
      </c>
      <c r="E37" s="36">
        <f t="shared" ref="E37:P37" si="6">((IF(LEFT($B$11,7)="Plant &amp;", ROUND(E26 / (1 - $F$13), 0), IF(LEFT($B$11,13)="Plant-Focused", ROUND(E26, 0), IF(LEFT($B$11,7)="Rainfed", 0, E28))) + IF(E20=$B$18, IF($B$15="Annual Pre-Sowing Flush", $F$12, IF(AND($B$15="Year 1 Reclamation Only", 1=1), $F$12, IF(AND($B$15="Bi-Annual Flush (Every 2 Yrs)", MOD(1,2)=1), $F$12, IF(AND($B$15="Manual Flushing Input", 1=1), $B$16, 0)))), 0))*$B$14 - (MAX(0, (IF(LEFT($B$11,7)="Plant &amp;", ROUND(E26 / (1 - $F$13), 0), IF(LEFT($B$11,13)="Plant-Focused", ROUND(E26, 0), IF(LEFT($B$11,7)="Rainfed", 0, E28))) + IF(E20=$B$18, IF($B$15="Annual Pre-Sowing Flush", $F$12, IF(AND($B$15="Year 1 Reclamation Only", 1=1), $F$12, IF(AND($B$15="Bi-Annual Flush (Every 2 Yrs)", MOD(1,2)=1), $F$12, IF(AND($B$15="Manual Flushing Input", 1=1), $B$16, 0)))), 0)) + E25 - E24)*E36)/$B$12) / (1 + MAX(0, (IF(LEFT($B$11,7)="Plant &amp;", ROUND(E26 / (1 - $F$13), 0), IF(LEFT($B$11,13)="Plant-Focused", ROUND(E26, 0), IF(LEFT($B$11,7)="Rainfed", 0, E28))) + IF(E20=$B$18, IF($B$15="Annual Pre-Sowing Flush", $F$12, IF(AND($B$15="Year 1 Reclamation Only", 1=1), $F$12, IF(AND($B$15="Bi-Annual Flush (Every 2 Yrs)", MOD(1,2)=1), $F$12, IF(AND($B$15="Manual Flushing Input", 1=1), $B$16, 0)))), 0)) + E25 - E24)/(2*$B$12))</f>
        <v>-58.640991822738116</v>
      </c>
      <c r="F37" s="36">
        <f t="shared" si="6"/>
        <v>-72.5469093466983</v>
      </c>
      <c r="G37" s="36">
        <f t="shared" si="6"/>
        <v>-106.99586341295884</v>
      </c>
      <c r="H37" s="36">
        <f t="shared" si="6"/>
        <v>-91.155984190972305</v>
      </c>
      <c r="I37" s="36">
        <f t="shared" si="6"/>
        <v>-60.390754721499775</v>
      </c>
      <c r="J37" s="36">
        <f t="shared" si="6"/>
        <v>-23.390334143345001</v>
      </c>
      <c r="K37" s="36">
        <f t="shared" si="6"/>
        <v>-280.7731212585856</v>
      </c>
      <c r="L37" s="36">
        <f t="shared" si="6"/>
        <v>-96.065521932497916</v>
      </c>
      <c r="M37" s="36">
        <f t="shared" si="6"/>
        <v>0</v>
      </c>
      <c r="N37" s="36">
        <f t="shared" si="6"/>
        <v>0</v>
      </c>
      <c r="O37" s="36">
        <f t="shared" si="6"/>
        <v>-31.679361065083977</v>
      </c>
      <c r="P37" s="36">
        <f t="shared" si="6"/>
        <v>-180.22317537647712</v>
      </c>
    </row>
    <row r="38" spans="1:17" ht="19.95" customHeight="1" x14ac:dyDescent="0.3">
      <c r="A38" s="70"/>
      <c r="B38" s="34" t="s">
        <v>318</v>
      </c>
      <c r="C38" s="23" t="s">
        <v>316</v>
      </c>
      <c r="D38" s="35">
        <f>AVERAGE(E38:P38)</f>
        <v>6176.7102493307548</v>
      </c>
      <c r="E38" s="36">
        <f t="shared" ref="E38:P38" si="7">E36 + E37</f>
        <v>6655.3590081772618</v>
      </c>
      <c r="F38" s="36">
        <f t="shared" si="7"/>
        <v>6582.8120988305636</v>
      </c>
      <c r="G38" s="36">
        <f t="shared" si="7"/>
        <v>6475.8162354176047</v>
      </c>
      <c r="H38" s="36">
        <f t="shared" si="7"/>
        <v>6384.6602512266327</v>
      </c>
      <c r="I38" s="36">
        <f t="shared" si="7"/>
        <v>6324.2694965051332</v>
      </c>
      <c r="J38" s="36">
        <f t="shared" si="7"/>
        <v>6300.8791623617881</v>
      </c>
      <c r="K38" s="36">
        <f t="shared" si="7"/>
        <v>6020.1060411032022</v>
      </c>
      <c r="L38" s="36">
        <f t="shared" si="7"/>
        <v>5924.0405191707041</v>
      </c>
      <c r="M38" s="36">
        <f t="shared" si="7"/>
        <v>5924.0405191707041</v>
      </c>
      <c r="N38" s="36">
        <f t="shared" si="7"/>
        <v>5924.0405191707041</v>
      </c>
      <c r="O38" s="36">
        <f t="shared" si="7"/>
        <v>5892.3611581056202</v>
      </c>
      <c r="P38" s="36">
        <f t="shared" si="7"/>
        <v>5712.137982729143</v>
      </c>
    </row>
    <row r="39" spans="1:17" ht="19.95" customHeight="1" x14ac:dyDescent="0.3">
      <c r="A39" s="71"/>
      <c r="B39" s="21" t="s">
        <v>319</v>
      </c>
      <c r="C39" s="23" t="s">
        <v>222</v>
      </c>
      <c r="D39" s="43">
        <f>AVERAGE(E39:P39)</f>
        <v>8.2797724521860001</v>
      </c>
      <c r="E39" s="44">
        <f t="shared" ref="E39:P39" si="8">E38 / (2 * $B$12)</f>
        <v>8.9213927723555795</v>
      </c>
      <c r="F39" s="44">
        <f t="shared" si="8"/>
        <v>8.8241449045986116</v>
      </c>
      <c r="G39" s="44">
        <f t="shared" si="8"/>
        <v>8.6807188142327139</v>
      </c>
      <c r="H39" s="44">
        <f t="shared" si="8"/>
        <v>8.5585258059338241</v>
      </c>
      <c r="I39" s="44">
        <f t="shared" si="8"/>
        <v>8.4775730516154599</v>
      </c>
      <c r="J39" s="44">
        <f t="shared" si="8"/>
        <v>8.4462187163026652</v>
      </c>
      <c r="K39" s="44">
        <f t="shared" si="8"/>
        <v>8.0698472400847212</v>
      </c>
      <c r="L39" s="44">
        <f t="shared" si="8"/>
        <v>7.9410730819982627</v>
      </c>
      <c r="M39" s="44">
        <f t="shared" si="8"/>
        <v>7.9410730819982627</v>
      </c>
      <c r="N39" s="44">
        <f t="shared" si="8"/>
        <v>7.9410730819982627</v>
      </c>
      <c r="O39" s="44">
        <f t="shared" si="8"/>
        <v>7.8986074505437269</v>
      </c>
      <c r="P39" s="44">
        <f t="shared" si="8"/>
        <v>7.6570214245698969</v>
      </c>
    </row>
    <row r="40" spans="1:17" ht="10.199999999999999" customHeight="1" x14ac:dyDescent="0.3"/>
    <row r="42" spans="1:17" ht="19.95" customHeight="1" x14ac:dyDescent="0.3">
      <c r="A42" s="69" t="s">
        <v>320</v>
      </c>
      <c r="B42" s="21" t="s">
        <v>315</v>
      </c>
      <c r="C42" s="23" t="s">
        <v>316</v>
      </c>
      <c r="D42" s="35">
        <f>AVERAGE(E42:P42)</f>
        <v>5453.8860326156873</v>
      </c>
      <c r="E42" s="36">
        <f>P38</f>
        <v>5712.137982729143</v>
      </c>
      <c r="F42" s="36">
        <f t="shared" ref="F42:P42" si="9">E44</f>
        <v>5685.7383958409982</v>
      </c>
      <c r="G42" s="36">
        <f t="shared" si="9"/>
        <v>5657.6403685267414</v>
      </c>
      <c r="H42" s="36">
        <f t="shared" si="9"/>
        <v>5610.2942878161239</v>
      </c>
      <c r="I42" s="36">
        <f t="shared" si="9"/>
        <v>5572.7661491802473</v>
      </c>
      <c r="J42" s="36">
        <f t="shared" si="9"/>
        <v>5550.113189054684</v>
      </c>
      <c r="K42" s="36">
        <f t="shared" si="9"/>
        <v>5543.1505749633379</v>
      </c>
      <c r="L42" s="36">
        <f t="shared" si="9"/>
        <v>5296.1425545848933</v>
      </c>
      <c r="M42" s="36">
        <f t="shared" si="9"/>
        <v>5211.6296414798153</v>
      </c>
      <c r="N42" s="36">
        <f t="shared" si="9"/>
        <v>5211.6296414798153</v>
      </c>
      <c r="O42" s="36">
        <f t="shared" si="9"/>
        <v>5211.6296414798153</v>
      </c>
      <c r="P42" s="36">
        <f t="shared" si="9"/>
        <v>5183.7599642526502</v>
      </c>
    </row>
    <row r="43" spans="1:17" ht="19.95" customHeight="1" x14ac:dyDescent="0.3">
      <c r="A43" s="70"/>
      <c r="B43" s="34" t="s">
        <v>317</v>
      </c>
      <c r="C43" s="23" t="s">
        <v>316</v>
      </c>
      <c r="D43" s="35">
        <f>SUM(E43:P43)</f>
        <v>-684.3276351702583</v>
      </c>
      <c r="E43" s="36">
        <f t="shared" ref="E43:P43" si="10">((IF(LEFT($B$11,7)="Plant &amp;", ROUND(E26 / (1 - $F$13), 0), IF(LEFT($B$11,13)="Plant-Focused", ROUND(E26, 0), IF(LEFT($B$11,7)="Rainfed", 0, E28))) + IF(E20=$B$18, IF($B$15="Annual Pre-Sowing Flush", $F$12, IF(AND($B$15="Year 1 Reclamation Only", 2=1), $F$12, IF(AND($B$15="Bi-Annual Flush (Every 2 Yrs)", MOD(2,2)=1), $F$12, IF(AND($B$15="Manual Flushing Input", 2=1), $B$16, 0)))), 0))*$B$14 - (MAX(0, (IF(LEFT($B$11,7)="Plant &amp;", ROUND(E26 / (1 - $F$13), 0), IF(LEFT($B$11,13)="Plant-Focused", ROUND(E26, 0), IF(LEFT($B$11,7)="Rainfed", 0, E28))) + IF(E20=$B$18, IF($B$15="Annual Pre-Sowing Flush", $F$12, IF(AND($B$15="Year 1 Reclamation Only", 2=1), $F$12, IF(AND($B$15="Bi-Annual Flush (Every 2 Yrs)", MOD(2,2)=1), $F$12, IF(AND($B$15="Manual Flushing Input", 2=1), $B$16, 0)))), 0)) + E25 - E24)*E42)/$B$12) / (1 + MAX(0, (IF(LEFT($B$11,7)="Plant &amp;", ROUND(E26 / (1 - $F$13), 0), IF(LEFT($B$11,13)="Plant-Focused", ROUND(E26, 0), IF(LEFT($B$11,7)="Rainfed", 0, E28))) + IF(E20=$B$18, IF($B$15="Annual Pre-Sowing Flush", $F$12, IF(AND($B$15="Year 1 Reclamation Only", 2=1), $F$12, IF(AND($B$15="Bi-Annual Flush (Every 2 Yrs)", MOD(2,2)=1), $F$12, IF(AND($B$15="Manual Flushing Input", 2=1), $B$16, 0)))), 0)) + E25 - E24)/(2*$B$12))</f>
        <v>-26.399586888144452</v>
      </c>
      <c r="F43" s="36">
        <f t="shared" si="10"/>
        <v>-28.098027314256651</v>
      </c>
      <c r="G43" s="36">
        <f t="shared" si="10"/>
        <v>-47.346080710617279</v>
      </c>
      <c r="H43" s="36">
        <f t="shared" si="10"/>
        <v>-37.52813863587631</v>
      </c>
      <c r="I43" s="36">
        <f t="shared" si="10"/>
        <v>-22.652960125563087</v>
      </c>
      <c r="J43" s="36">
        <f t="shared" si="10"/>
        <v>-6.9626140913460803</v>
      </c>
      <c r="K43" s="36">
        <f t="shared" si="10"/>
        <v>-247.00802037844497</v>
      </c>
      <c r="L43" s="36">
        <f t="shared" si="10"/>
        <v>-84.512913105078084</v>
      </c>
      <c r="M43" s="36">
        <f t="shared" si="10"/>
        <v>0</v>
      </c>
      <c r="N43" s="36">
        <f t="shared" si="10"/>
        <v>0</v>
      </c>
      <c r="O43" s="36">
        <f t="shared" si="10"/>
        <v>-27.869677227164789</v>
      </c>
      <c r="P43" s="36">
        <f t="shared" si="10"/>
        <v>-155.94961669376667</v>
      </c>
    </row>
    <row r="44" spans="1:17" ht="19.95" customHeight="1" x14ac:dyDescent="0.3">
      <c r="A44" s="70"/>
      <c r="B44" s="34" t="s">
        <v>318</v>
      </c>
      <c r="C44" s="23" t="s">
        <v>316</v>
      </c>
      <c r="D44" s="35">
        <f>AVERAGE(E44:P44)</f>
        <v>5396.8587296848318</v>
      </c>
      <c r="E44" s="36">
        <f t="shared" ref="E44:P44" si="11">E42 + E43</f>
        <v>5685.7383958409982</v>
      </c>
      <c r="F44" s="36">
        <f t="shared" si="11"/>
        <v>5657.6403685267414</v>
      </c>
      <c r="G44" s="36">
        <f t="shared" si="11"/>
        <v>5610.2942878161239</v>
      </c>
      <c r="H44" s="36">
        <f t="shared" si="11"/>
        <v>5572.7661491802473</v>
      </c>
      <c r="I44" s="36">
        <f t="shared" si="11"/>
        <v>5550.113189054684</v>
      </c>
      <c r="J44" s="36">
        <f t="shared" si="11"/>
        <v>5543.1505749633379</v>
      </c>
      <c r="K44" s="36">
        <f t="shared" si="11"/>
        <v>5296.1425545848933</v>
      </c>
      <c r="L44" s="36">
        <f t="shared" si="11"/>
        <v>5211.6296414798153</v>
      </c>
      <c r="M44" s="36">
        <f t="shared" si="11"/>
        <v>5211.6296414798153</v>
      </c>
      <c r="N44" s="36">
        <f t="shared" si="11"/>
        <v>5211.6296414798153</v>
      </c>
      <c r="O44" s="36">
        <f t="shared" si="11"/>
        <v>5183.7599642526502</v>
      </c>
      <c r="P44" s="36">
        <f t="shared" si="11"/>
        <v>5027.8103475588832</v>
      </c>
    </row>
    <row r="45" spans="1:17" ht="19.95" customHeight="1" x14ac:dyDescent="0.3">
      <c r="A45" s="71"/>
      <c r="B45" s="21" t="s">
        <v>319</v>
      </c>
      <c r="C45" s="23" t="s">
        <v>222</v>
      </c>
      <c r="D45" s="43">
        <f>AVERAGE(E45:P45)</f>
        <v>7.2343950800064789</v>
      </c>
      <c r="E45" s="44">
        <f t="shared" ref="E45:P45" si="12">E44 / (2 * $B$12)</f>
        <v>7.621633238392759</v>
      </c>
      <c r="F45" s="44">
        <f t="shared" si="12"/>
        <v>7.5839683224219057</v>
      </c>
      <c r="G45" s="44">
        <f t="shared" si="12"/>
        <v>7.5205017262950724</v>
      </c>
      <c r="H45" s="44">
        <f t="shared" si="12"/>
        <v>7.4701959104292861</v>
      </c>
      <c r="I45" s="44">
        <f t="shared" si="12"/>
        <v>7.4398300121376462</v>
      </c>
      <c r="J45" s="44">
        <f t="shared" si="12"/>
        <v>7.4304967492806142</v>
      </c>
      <c r="K45" s="44">
        <f t="shared" si="12"/>
        <v>7.0993868023926181</v>
      </c>
      <c r="L45" s="44">
        <f t="shared" si="12"/>
        <v>6.9860987151203959</v>
      </c>
      <c r="M45" s="44">
        <f t="shared" si="12"/>
        <v>6.9860987151203959</v>
      </c>
      <c r="N45" s="44">
        <f t="shared" si="12"/>
        <v>6.9860987151203959</v>
      </c>
      <c r="O45" s="44">
        <f t="shared" si="12"/>
        <v>6.9487398984619979</v>
      </c>
      <c r="P45" s="44">
        <f t="shared" si="12"/>
        <v>6.7396921549046693</v>
      </c>
    </row>
    <row r="46" spans="1:17" ht="10.199999999999999" customHeight="1" x14ac:dyDescent="0.3"/>
    <row r="48" spans="1:17" ht="19.95" customHeight="1" x14ac:dyDescent="0.3">
      <c r="A48" s="69" t="s">
        <v>321</v>
      </c>
      <c r="B48" s="21" t="s">
        <v>315</v>
      </c>
      <c r="C48" s="23" t="s">
        <v>316</v>
      </c>
      <c r="D48" s="35">
        <f>AVERAGE(E48:P48)</f>
        <v>4903.129475215369</v>
      </c>
      <c r="E48" s="36">
        <f>P44</f>
        <v>5027.8103475588832</v>
      </c>
      <c r="F48" s="36">
        <f t="shared" ref="F48:P48" si="13">E50</f>
        <v>5023.433438457806</v>
      </c>
      <c r="G48" s="36">
        <f t="shared" si="13"/>
        <v>5025.6964766424517</v>
      </c>
      <c r="H48" s="36">
        <f t="shared" si="13"/>
        <v>5019.0945243960614</v>
      </c>
      <c r="I48" s="36">
        <f t="shared" si="13"/>
        <v>5018.1971952881931</v>
      </c>
      <c r="J48" s="36">
        <f t="shared" si="13"/>
        <v>5021.3212536414094</v>
      </c>
      <c r="K48" s="36">
        <f t="shared" si="13"/>
        <v>5025.5796885774007</v>
      </c>
      <c r="L48" s="36">
        <f t="shared" si="13"/>
        <v>4801.6351152987227</v>
      </c>
      <c r="M48" s="36">
        <f t="shared" si="13"/>
        <v>4725.0132783524668</v>
      </c>
      <c r="N48" s="36">
        <f t="shared" si="13"/>
        <v>4725.0132783524668</v>
      </c>
      <c r="O48" s="36">
        <f t="shared" si="13"/>
        <v>4725.0132783524668</v>
      </c>
      <c r="P48" s="36">
        <f t="shared" si="13"/>
        <v>4699.74582766609</v>
      </c>
    </row>
    <row r="49" spans="1:16" ht="19.95" customHeight="1" x14ac:dyDescent="0.3">
      <c r="A49" s="70"/>
      <c r="B49" s="34" t="s">
        <v>317</v>
      </c>
      <c r="C49" s="23" t="s">
        <v>316</v>
      </c>
      <c r="D49" s="35">
        <f>SUM(E49:P49)</f>
        <v>-467.43394218438618</v>
      </c>
      <c r="E49" s="36">
        <f t="shared" ref="E49:P49" si="14">((IF(LEFT($B$11,7)="Plant &amp;", ROUND(E26 / (1 - $F$13), 0), IF(LEFT($B$11,13)="Plant-Focused", ROUND(E26, 0), IF(LEFT($B$11,7)="Rainfed", 0, E28))) + IF(E20=$B$18, IF($B$15="Annual Pre-Sowing Flush", $F$12, IF(AND($B$15="Year 1 Reclamation Only", 3=1), $F$12, IF(AND($B$15="Bi-Annual Flush (Every 2 Yrs)", MOD(3,2)=1), $F$12, IF(AND($B$15="Manual Flushing Input", 3=1), $B$16, 0)))), 0))*$B$14 - (MAX(0, (IF(LEFT($B$11,7)="Plant &amp;", ROUND(E26 / (1 - $F$13), 0), IF(LEFT($B$11,13)="Plant-Focused", ROUND(E26, 0), IF(LEFT($B$11,7)="Rainfed", 0, E28))) + IF(E20=$B$18, IF($B$15="Annual Pre-Sowing Flush", $F$12, IF(AND($B$15="Year 1 Reclamation Only", 3=1), $F$12, IF(AND($B$15="Bi-Annual Flush (Every 2 Yrs)", MOD(3,2)=1), $F$12, IF(AND($B$15="Manual Flushing Input", 3=1), $B$16, 0)))), 0)) + E25 - E24)*E48)/$B$12) / (1 + MAX(0, (IF(LEFT($B$11,7)="Plant &amp;", ROUND(E26 / (1 - $F$13), 0), IF(LEFT($B$11,13)="Plant-Focused", ROUND(E26, 0), IF(LEFT($B$11,7)="Rainfed", 0, E28))) + IF(E20=$B$18, IF($B$15="Annual Pre-Sowing Flush", $F$12, IF(AND($B$15="Year 1 Reclamation Only", 3=1), $F$12, IF(AND($B$15="Bi-Annual Flush (Every 2 Yrs)", MOD(3,2)=1), $F$12, IF(AND($B$15="Manual Flushing Input", 3=1), $B$16, 0)))), 0)) + E25 - E24)/(2*$B$12))</f>
        <v>-4.3769091010772714</v>
      </c>
      <c r="F49" s="36">
        <f t="shared" si="14"/>
        <v>2.2630381846454202</v>
      </c>
      <c r="G49" s="36">
        <f t="shared" si="14"/>
        <v>-6.6019522463904377</v>
      </c>
      <c r="H49" s="36">
        <f t="shared" si="14"/>
        <v>-0.89732910786825149</v>
      </c>
      <c r="I49" s="36">
        <f t="shared" si="14"/>
        <v>3.124058353216558</v>
      </c>
      <c r="J49" s="36">
        <f t="shared" si="14"/>
        <v>4.258434935991315</v>
      </c>
      <c r="K49" s="36">
        <f t="shared" si="14"/>
        <v>-223.94457327867843</v>
      </c>
      <c r="L49" s="36">
        <f t="shared" si="14"/>
        <v>-76.621836946256209</v>
      </c>
      <c r="M49" s="36">
        <f t="shared" si="14"/>
        <v>0</v>
      </c>
      <c r="N49" s="36">
        <f t="shared" si="14"/>
        <v>0</v>
      </c>
      <c r="O49" s="36">
        <f t="shared" si="14"/>
        <v>-25.267450686376826</v>
      </c>
      <c r="P49" s="36">
        <f t="shared" si="14"/>
        <v>-139.36942229159203</v>
      </c>
    </row>
    <row r="50" spans="1:16" ht="19.95" customHeight="1" x14ac:dyDescent="0.3">
      <c r="A50" s="70"/>
      <c r="B50" s="34" t="s">
        <v>318</v>
      </c>
      <c r="C50" s="23" t="s">
        <v>316</v>
      </c>
      <c r="D50" s="35">
        <f>AVERAGE(E50:P50)</f>
        <v>4864.1766467000025</v>
      </c>
      <c r="E50" s="36">
        <f t="shared" ref="E50:P50" si="15">E48 + E49</f>
        <v>5023.433438457806</v>
      </c>
      <c r="F50" s="36">
        <f t="shared" si="15"/>
        <v>5025.6964766424517</v>
      </c>
      <c r="G50" s="36">
        <f t="shared" si="15"/>
        <v>5019.0945243960614</v>
      </c>
      <c r="H50" s="36">
        <f t="shared" si="15"/>
        <v>5018.1971952881931</v>
      </c>
      <c r="I50" s="36">
        <f t="shared" si="15"/>
        <v>5021.3212536414094</v>
      </c>
      <c r="J50" s="36">
        <f t="shared" si="15"/>
        <v>5025.5796885774007</v>
      </c>
      <c r="K50" s="36">
        <f t="shared" si="15"/>
        <v>4801.6351152987227</v>
      </c>
      <c r="L50" s="36">
        <f t="shared" si="15"/>
        <v>4725.0132783524668</v>
      </c>
      <c r="M50" s="36">
        <f t="shared" si="15"/>
        <v>4725.0132783524668</v>
      </c>
      <c r="N50" s="36">
        <f t="shared" si="15"/>
        <v>4725.0132783524668</v>
      </c>
      <c r="O50" s="36">
        <f t="shared" si="15"/>
        <v>4699.74582766609</v>
      </c>
      <c r="P50" s="36">
        <f t="shared" si="15"/>
        <v>4560.3764053744981</v>
      </c>
    </row>
    <row r="51" spans="1:16" ht="19.95" customHeight="1" x14ac:dyDescent="0.3">
      <c r="A51" s="71"/>
      <c r="B51" s="21" t="s">
        <v>319</v>
      </c>
      <c r="C51" s="23" t="s">
        <v>222</v>
      </c>
      <c r="D51" s="43">
        <f>AVERAGE(E51:P51)</f>
        <v>6.5203440304289586</v>
      </c>
      <c r="E51" s="44">
        <f t="shared" ref="E51:P51" si="16">E50 / (2 * $B$12)</f>
        <v>6.7338249845278897</v>
      </c>
      <c r="F51" s="44">
        <f t="shared" si="16"/>
        <v>6.7368585477780858</v>
      </c>
      <c r="G51" s="44">
        <f t="shared" si="16"/>
        <v>6.7280087458392241</v>
      </c>
      <c r="H51" s="44">
        <f t="shared" si="16"/>
        <v>6.7268058918072295</v>
      </c>
      <c r="I51" s="44">
        <f t="shared" si="16"/>
        <v>6.7309936375890205</v>
      </c>
      <c r="J51" s="44">
        <f t="shared" si="16"/>
        <v>6.7367019954120657</v>
      </c>
      <c r="K51" s="44">
        <f t="shared" si="16"/>
        <v>6.4365081974513707</v>
      </c>
      <c r="L51" s="44">
        <f t="shared" si="16"/>
        <v>6.3337979602579981</v>
      </c>
      <c r="M51" s="44">
        <f t="shared" si="16"/>
        <v>6.3337979602579981</v>
      </c>
      <c r="N51" s="44">
        <f t="shared" si="16"/>
        <v>6.3337979602579981</v>
      </c>
      <c r="O51" s="44">
        <f t="shared" si="16"/>
        <v>6.2999273829304157</v>
      </c>
      <c r="P51" s="44">
        <f t="shared" si="16"/>
        <v>6.1131051010382009</v>
      </c>
    </row>
    <row r="52" spans="1:16" ht="10.199999999999999" customHeight="1" x14ac:dyDescent="0.3"/>
    <row r="54" spans="1:16" ht="19.95" customHeight="1" x14ac:dyDescent="0.3">
      <c r="A54" s="69" t="s">
        <v>322</v>
      </c>
      <c r="B54" s="21" t="s">
        <v>315</v>
      </c>
      <c r="C54" s="23" t="s">
        <v>316</v>
      </c>
      <c r="D54" s="35">
        <f>AVERAGE(E54:P54)</f>
        <v>4526.9320288774279</v>
      </c>
      <c r="E54" s="36">
        <f>P50</f>
        <v>4560.3764053744981</v>
      </c>
      <c r="F54" s="36">
        <f t="shared" ref="F54:P54" si="17">E56</f>
        <v>4571.0422134843138</v>
      </c>
      <c r="G54" s="36">
        <f t="shared" si="17"/>
        <v>4594.0435527482941</v>
      </c>
      <c r="H54" s="36">
        <f t="shared" si="17"/>
        <v>4615.2721126865563</v>
      </c>
      <c r="I54" s="36">
        <f t="shared" si="17"/>
        <v>4639.3956695156148</v>
      </c>
      <c r="J54" s="36">
        <f t="shared" si="17"/>
        <v>4660.1268691649711</v>
      </c>
      <c r="K54" s="36">
        <f t="shared" si="17"/>
        <v>4672.0499064240703</v>
      </c>
      <c r="L54" s="36">
        <f t="shared" si="17"/>
        <v>4463.8589538442293</v>
      </c>
      <c r="M54" s="36">
        <f t="shared" si="17"/>
        <v>4392.6271620275656</v>
      </c>
      <c r="N54" s="36">
        <f t="shared" si="17"/>
        <v>4392.6271620275656</v>
      </c>
      <c r="O54" s="36">
        <f t="shared" si="17"/>
        <v>4392.6271620275656</v>
      </c>
      <c r="P54" s="36">
        <f t="shared" si="17"/>
        <v>4369.1371772038892</v>
      </c>
    </row>
    <row r="55" spans="1:16" ht="19.95" customHeight="1" x14ac:dyDescent="0.3">
      <c r="A55" s="70"/>
      <c r="B55" s="34" t="s">
        <v>317</v>
      </c>
      <c r="C55" s="23" t="s">
        <v>316</v>
      </c>
      <c r="D55" s="35">
        <f>SUM(E55:P55)</f>
        <v>-319.2834529496613</v>
      </c>
      <c r="E55" s="36">
        <f t="shared" ref="E55:P55" si="18">((IF(LEFT($B$11,7)="Plant &amp;", ROUND(E26 / (1 - $F$13), 0), IF(LEFT($B$11,13)="Plant-Focused", ROUND(E26, 0), IF(LEFT($B$11,7)="Rainfed", 0, E28))) + IF(E20=$B$18, IF($B$15="Annual Pre-Sowing Flush", $F$12, IF(AND($B$15="Year 1 Reclamation Only", 4=1), $F$12, IF(AND($B$15="Bi-Annual Flush (Every 2 Yrs)", MOD(4,2)=1), $F$12, IF(AND($B$15="Manual Flushing Input", 4=1), $B$16, 0)))), 0))*$B$14 - (MAX(0, (IF(LEFT($B$11,7)="Plant &amp;", ROUND(E26 / (1 - $F$13), 0), IF(LEFT($B$11,13)="Plant-Focused", ROUND(E26, 0), IF(LEFT($B$11,7)="Rainfed", 0, E28))) + IF(E20=$B$18, IF($B$15="Annual Pre-Sowing Flush", $F$12, IF(AND($B$15="Year 1 Reclamation Only", 4=1), $F$12, IF(AND($B$15="Bi-Annual Flush (Every 2 Yrs)", MOD(4,2)=1), $F$12, IF(AND($B$15="Manual Flushing Input", 4=1), $B$16, 0)))), 0)) + E25 - E24)*E54)/$B$12) / (1 + MAX(0, (IF(LEFT($B$11,7)="Plant &amp;", ROUND(E26 / (1 - $F$13), 0), IF(LEFT($B$11,13)="Plant-Focused", ROUND(E26, 0), IF(LEFT($B$11,7)="Rainfed", 0, E28))) + IF(E20=$B$18, IF($B$15="Annual Pre-Sowing Flush", $F$12, IF(AND($B$15="Year 1 Reclamation Only", 4=1), $F$12, IF(AND($B$15="Bi-Annual Flush (Every 2 Yrs)", MOD(4,2)=1), $F$12, IF(AND($B$15="Manual Flushing Input", 4=1), $B$16, 0)))), 0)) + E25 - E24)/(2*$B$12))</f>
        <v>10.665808109815657</v>
      </c>
      <c r="F55" s="36">
        <f t="shared" si="18"/>
        <v>23.001339263980373</v>
      </c>
      <c r="G55" s="36">
        <f t="shared" si="18"/>
        <v>21.228559938262435</v>
      </c>
      <c r="H55" s="36">
        <f t="shared" si="18"/>
        <v>24.12355682905897</v>
      </c>
      <c r="I55" s="36">
        <f t="shared" si="18"/>
        <v>20.731199649356025</v>
      </c>
      <c r="J55" s="36">
        <f t="shared" si="18"/>
        <v>11.92303725909875</v>
      </c>
      <c r="K55" s="36">
        <f t="shared" si="18"/>
        <v>-208.19095257984063</v>
      </c>
      <c r="L55" s="36">
        <f t="shared" si="18"/>
        <v>-71.231791816663232</v>
      </c>
      <c r="M55" s="36">
        <f t="shared" si="18"/>
        <v>0</v>
      </c>
      <c r="N55" s="36">
        <f t="shared" si="18"/>
        <v>0</v>
      </c>
      <c r="O55" s="36">
        <f t="shared" si="18"/>
        <v>-23.489984823676821</v>
      </c>
      <c r="P55" s="36">
        <f t="shared" si="18"/>
        <v>-128.04422477905285</v>
      </c>
    </row>
    <row r="56" spans="1:16" ht="19.95" customHeight="1" x14ac:dyDescent="0.3">
      <c r="A56" s="70"/>
      <c r="B56" s="34" t="s">
        <v>318</v>
      </c>
      <c r="C56" s="23" t="s">
        <v>316</v>
      </c>
      <c r="D56" s="35">
        <f>AVERAGE(E56:P56)</f>
        <v>4500.3250744649567</v>
      </c>
      <c r="E56" s="36">
        <f t="shared" ref="E56:P56" si="19">E54 + E55</f>
        <v>4571.0422134843138</v>
      </c>
      <c r="F56" s="36">
        <f t="shared" si="19"/>
        <v>4594.0435527482941</v>
      </c>
      <c r="G56" s="36">
        <f t="shared" si="19"/>
        <v>4615.2721126865563</v>
      </c>
      <c r="H56" s="36">
        <f t="shared" si="19"/>
        <v>4639.3956695156148</v>
      </c>
      <c r="I56" s="36">
        <f t="shared" si="19"/>
        <v>4660.1268691649711</v>
      </c>
      <c r="J56" s="36">
        <f t="shared" si="19"/>
        <v>4672.0499064240703</v>
      </c>
      <c r="K56" s="36">
        <f t="shared" si="19"/>
        <v>4463.8589538442293</v>
      </c>
      <c r="L56" s="36">
        <f t="shared" si="19"/>
        <v>4392.6271620275656</v>
      </c>
      <c r="M56" s="36">
        <f t="shared" si="19"/>
        <v>4392.6271620275656</v>
      </c>
      <c r="N56" s="36">
        <f t="shared" si="19"/>
        <v>4392.6271620275656</v>
      </c>
      <c r="O56" s="36">
        <f t="shared" si="19"/>
        <v>4369.1371772038892</v>
      </c>
      <c r="P56" s="36">
        <f t="shared" si="19"/>
        <v>4241.0929524248368</v>
      </c>
    </row>
    <row r="57" spans="1:16" ht="19.95" customHeight="1" x14ac:dyDescent="0.3">
      <c r="A57" s="71"/>
      <c r="B57" s="21" t="s">
        <v>319</v>
      </c>
      <c r="C57" s="23" t="s">
        <v>222</v>
      </c>
      <c r="D57" s="43">
        <f>AVERAGE(E57:P57)</f>
        <v>6.0326073384248744</v>
      </c>
      <c r="E57" s="44">
        <f t="shared" ref="E57:P57" si="20">E56 / (2 * $B$12)</f>
        <v>6.1274024309441204</v>
      </c>
      <c r="F57" s="44">
        <f t="shared" si="20"/>
        <v>6.1582353253998585</v>
      </c>
      <c r="G57" s="44">
        <f t="shared" si="20"/>
        <v>6.1866918400624078</v>
      </c>
      <c r="H57" s="44">
        <f t="shared" si="20"/>
        <v>6.2190290476080632</v>
      </c>
      <c r="I57" s="44">
        <f t="shared" si="20"/>
        <v>6.246818859470471</v>
      </c>
      <c r="J57" s="44">
        <f t="shared" si="20"/>
        <v>6.2628014831421854</v>
      </c>
      <c r="K57" s="44">
        <f t="shared" si="20"/>
        <v>5.9837251392013799</v>
      </c>
      <c r="L57" s="44">
        <f t="shared" si="20"/>
        <v>5.8882401635758255</v>
      </c>
      <c r="M57" s="44">
        <f t="shared" si="20"/>
        <v>5.8882401635758255</v>
      </c>
      <c r="N57" s="44">
        <f t="shared" si="20"/>
        <v>5.8882401635758255</v>
      </c>
      <c r="O57" s="44">
        <f t="shared" si="20"/>
        <v>5.8567522482625858</v>
      </c>
      <c r="P57" s="44">
        <f t="shared" si="20"/>
        <v>5.6851111962799417</v>
      </c>
    </row>
    <row r="58" spans="1:16" ht="10.199999999999999" customHeight="1" x14ac:dyDescent="0.3"/>
    <row r="60" spans="1:16" ht="19.95" customHeight="1" x14ac:dyDescent="0.3">
      <c r="A60" s="69" t="s">
        <v>323</v>
      </c>
      <c r="B60" s="21" t="s">
        <v>315</v>
      </c>
      <c r="C60" s="23" t="s">
        <v>316</v>
      </c>
      <c r="D60" s="35">
        <f>AVERAGE(E60:P60)</f>
        <v>4269.9681911716871</v>
      </c>
      <c r="E60" s="36">
        <f>P56</f>
        <v>4241.0929524248368</v>
      </c>
      <c r="F60" s="36">
        <f t="shared" ref="F60:P60" si="21">E62</f>
        <v>4262.0337753750264</v>
      </c>
      <c r="G60" s="36">
        <f t="shared" si="21"/>
        <v>4299.200530924305</v>
      </c>
      <c r="H60" s="36">
        <f t="shared" si="21"/>
        <v>4339.4388828903966</v>
      </c>
      <c r="I60" s="36">
        <f t="shared" si="21"/>
        <v>4380.6531003173341</v>
      </c>
      <c r="J60" s="36">
        <f t="shared" si="21"/>
        <v>4413.410959484253</v>
      </c>
      <c r="K60" s="36">
        <f t="shared" si="21"/>
        <v>4430.5693476119077</v>
      </c>
      <c r="L60" s="36">
        <f t="shared" si="21"/>
        <v>4233.1389966042998</v>
      </c>
      <c r="M60" s="36">
        <f t="shared" si="21"/>
        <v>4165.5889062329543</v>
      </c>
      <c r="N60" s="36">
        <f t="shared" si="21"/>
        <v>4165.5889062329543</v>
      </c>
      <c r="O60" s="36">
        <f t="shared" si="21"/>
        <v>4165.5889062329543</v>
      </c>
      <c r="P60" s="36">
        <f t="shared" si="21"/>
        <v>4143.3130297290345</v>
      </c>
    </row>
    <row r="61" spans="1:16" ht="19.95" customHeight="1" x14ac:dyDescent="0.3">
      <c r="A61" s="70"/>
      <c r="B61" s="34" t="s">
        <v>317</v>
      </c>
      <c r="C61" s="23" t="s">
        <v>316</v>
      </c>
      <c r="D61" s="35">
        <f>SUM(E61:P61)</f>
        <v>-218.08840592762533</v>
      </c>
      <c r="E61" s="36">
        <f t="shared" ref="E61:P61" si="22">((IF(LEFT($B$11,7)="Plant &amp;", ROUND(E26 / (1 - $F$13), 0), IF(LEFT($B$11,13)="Plant-Focused", ROUND(E26, 0), IF(LEFT($B$11,7)="Rainfed", 0, E28))) + IF(E20=$B$18, IF($B$15="Annual Pre-Sowing Flush", $F$12, IF(AND($B$15="Year 1 Reclamation Only", 5=1), $F$12, IF(AND($B$15="Bi-Annual Flush (Every 2 Yrs)", MOD(5,2)=1), $F$12, IF(AND($B$15="Manual Flushing Input", 5=1), $B$16, 0)))), 0))*$B$14 - (MAX(0, (IF(LEFT($B$11,7)="Plant &amp;", ROUND(E26 / (1 - $F$13), 0), IF(LEFT($B$11,13)="Plant-Focused", ROUND(E26, 0), IF(LEFT($B$11,7)="Rainfed", 0, E28))) + IF(E20=$B$18, IF($B$15="Annual Pre-Sowing Flush", $F$12, IF(AND($B$15="Year 1 Reclamation Only", 5=1), $F$12, IF(AND($B$15="Bi-Annual Flush (Every 2 Yrs)", MOD(5,2)=1), $F$12, IF(AND($B$15="Manual Flushing Input", 5=1), $B$16, 0)))), 0)) + E25 - E24)*E60)/$B$12) / (1 + MAX(0, (IF(LEFT($B$11,7)="Plant &amp;", ROUND(E26 / (1 - $F$13), 0), IF(LEFT($B$11,13)="Plant-Focused", ROUND(E26, 0), IF(LEFT($B$11,7)="Rainfed", 0, E28))) + IF(E20=$B$18, IF($B$15="Annual Pre-Sowing Flush", $F$12, IF(AND($B$15="Year 1 Reclamation Only", 5=1), $F$12, IF(AND($B$15="Bi-Annual Flush (Every 2 Yrs)", MOD(5,2)=1), $F$12, IF(AND($B$15="Manual Flushing Input", 5=1), $B$16, 0)))), 0)) + E25 - E24)/(2*$B$12))</f>
        <v>20.940822950189858</v>
      </c>
      <c r="F61" s="36">
        <f t="shared" si="22"/>
        <v>37.166755549278392</v>
      </c>
      <c r="G61" s="36">
        <f t="shared" si="22"/>
        <v>40.238351966091784</v>
      </c>
      <c r="H61" s="36">
        <f t="shared" si="22"/>
        <v>41.214217426937566</v>
      </c>
      <c r="I61" s="36">
        <f t="shared" si="22"/>
        <v>32.757859166919332</v>
      </c>
      <c r="J61" s="36">
        <f t="shared" si="22"/>
        <v>17.158388127655108</v>
      </c>
      <c r="K61" s="36">
        <f t="shared" si="22"/>
        <v>-197.43035100760795</v>
      </c>
      <c r="L61" s="36">
        <f t="shared" si="22"/>
        <v>-67.550090371345206</v>
      </c>
      <c r="M61" s="36">
        <f t="shared" si="22"/>
        <v>0</v>
      </c>
      <c r="N61" s="36">
        <f t="shared" si="22"/>
        <v>0</v>
      </c>
      <c r="O61" s="36">
        <f t="shared" si="22"/>
        <v>-22.275876503919541</v>
      </c>
      <c r="P61" s="36">
        <f t="shared" si="22"/>
        <v>-120.30848323182464</v>
      </c>
    </row>
    <row r="62" spans="1:16" ht="19.95" customHeight="1" x14ac:dyDescent="0.3">
      <c r="A62" s="70"/>
      <c r="B62" s="34" t="s">
        <v>318</v>
      </c>
      <c r="C62" s="23" t="s">
        <v>316</v>
      </c>
      <c r="D62" s="35">
        <f>AVERAGE(E62:P62)</f>
        <v>4251.794157344385</v>
      </c>
      <c r="E62" s="36">
        <f t="shared" ref="E62:P62" si="23">E60 + E61</f>
        <v>4262.0337753750264</v>
      </c>
      <c r="F62" s="36">
        <f t="shared" si="23"/>
        <v>4299.200530924305</v>
      </c>
      <c r="G62" s="36">
        <f t="shared" si="23"/>
        <v>4339.4388828903966</v>
      </c>
      <c r="H62" s="36">
        <f t="shared" si="23"/>
        <v>4380.6531003173341</v>
      </c>
      <c r="I62" s="36">
        <f t="shared" si="23"/>
        <v>4413.410959484253</v>
      </c>
      <c r="J62" s="36">
        <f t="shared" si="23"/>
        <v>4430.5693476119077</v>
      </c>
      <c r="K62" s="36">
        <f t="shared" si="23"/>
        <v>4233.1389966042998</v>
      </c>
      <c r="L62" s="36">
        <f t="shared" si="23"/>
        <v>4165.5889062329543</v>
      </c>
      <c r="M62" s="36">
        <f t="shared" si="23"/>
        <v>4165.5889062329543</v>
      </c>
      <c r="N62" s="36">
        <f t="shared" si="23"/>
        <v>4165.5889062329543</v>
      </c>
      <c r="O62" s="36">
        <f t="shared" si="23"/>
        <v>4143.3130297290345</v>
      </c>
      <c r="P62" s="36">
        <f t="shared" si="23"/>
        <v>4023.00454649721</v>
      </c>
    </row>
    <row r="63" spans="1:16" ht="19.95" customHeight="1" x14ac:dyDescent="0.3">
      <c r="A63" s="71"/>
      <c r="B63" s="21" t="s">
        <v>319</v>
      </c>
      <c r="C63" s="23" t="s">
        <v>222</v>
      </c>
      <c r="D63" s="43">
        <f>AVERAGE(E63:P63)</f>
        <v>5.6994559749924747</v>
      </c>
      <c r="E63" s="44">
        <f t="shared" ref="E63:P63" si="24">E62 / (2 * $B$12)</f>
        <v>5.7131820045241639</v>
      </c>
      <c r="F63" s="44">
        <f t="shared" si="24"/>
        <v>5.7630033926599262</v>
      </c>
      <c r="G63" s="44">
        <f t="shared" si="24"/>
        <v>5.8169422022659472</v>
      </c>
      <c r="H63" s="44">
        <f t="shared" si="24"/>
        <v>5.8721891425165333</v>
      </c>
      <c r="I63" s="44">
        <f t="shared" si="24"/>
        <v>5.9161004818823768</v>
      </c>
      <c r="J63" s="44">
        <f t="shared" si="24"/>
        <v>5.9391010021607338</v>
      </c>
      <c r="K63" s="44">
        <f t="shared" si="24"/>
        <v>5.674449057110321</v>
      </c>
      <c r="L63" s="44">
        <f t="shared" si="24"/>
        <v>5.5838993381138797</v>
      </c>
      <c r="M63" s="44">
        <f t="shared" si="24"/>
        <v>5.5838993381138797</v>
      </c>
      <c r="N63" s="44">
        <f t="shared" si="24"/>
        <v>5.5838993381138797</v>
      </c>
      <c r="O63" s="44">
        <f t="shared" si="24"/>
        <v>5.5540389138458908</v>
      </c>
      <c r="P63" s="44">
        <f t="shared" si="24"/>
        <v>5.3927674886021579</v>
      </c>
    </row>
    <row r="64" spans="1:16" ht="10.199999999999999" customHeight="1" x14ac:dyDescent="0.3"/>
    <row r="66" spans="1:16" ht="19.95" customHeight="1" x14ac:dyDescent="0.3">
      <c r="A66" s="69" t="s">
        <v>324</v>
      </c>
      <c r="B66" s="21" t="s">
        <v>315</v>
      </c>
      <c r="C66" s="23" t="s">
        <v>316</v>
      </c>
      <c r="D66" s="35">
        <f>AVERAGE(E66:P66)</f>
        <v>4094.447558240156</v>
      </c>
      <c r="E66" s="36">
        <f>P62</f>
        <v>4023.00454649721</v>
      </c>
      <c r="F66" s="36">
        <f t="shared" ref="F66:P66" si="25">E68</f>
        <v>4050.9637776571521</v>
      </c>
      <c r="G66" s="36">
        <f t="shared" si="25"/>
        <v>4097.8063025844604</v>
      </c>
      <c r="H66" s="36">
        <f t="shared" si="25"/>
        <v>4151.0294027486325</v>
      </c>
      <c r="I66" s="36">
        <f t="shared" si="25"/>
        <v>4203.9174945702734</v>
      </c>
      <c r="J66" s="36">
        <f t="shared" si="25"/>
        <v>4244.89023295686</v>
      </c>
      <c r="K66" s="36">
        <f t="shared" si="25"/>
        <v>4265.6246577217016</v>
      </c>
      <c r="L66" s="36">
        <f t="shared" si="25"/>
        <v>4075.544397744588</v>
      </c>
      <c r="M66" s="36">
        <f t="shared" si="25"/>
        <v>4010.509114801855</v>
      </c>
      <c r="N66" s="36">
        <f t="shared" si="25"/>
        <v>4010.509114801855</v>
      </c>
      <c r="O66" s="36">
        <f t="shared" si="25"/>
        <v>4010.509114801855</v>
      </c>
      <c r="P66" s="36">
        <f t="shared" si="25"/>
        <v>3989.0625419954281</v>
      </c>
    </row>
    <row r="67" spans="1:16" ht="19.95" customHeight="1" x14ac:dyDescent="0.3">
      <c r="A67" s="70"/>
      <c r="B67" s="34" t="s">
        <v>317</v>
      </c>
      <c r="C67" s="23" t="s">
        <v>316</v>
      </c>
      <c r="D67" s="35">
        <f>SUM(E67:P67)</f>
        <v>-148.96654480729197</v>
      </c>
      <c r="E67" s="36">
        <f t="shared" ref="E67:P67" si="26">((IF(LEFT($B$11,7)="Plant &amp;", ROUND(E26 / (1 - $F$13), 0), IF(LEFT($B$11,13)="Plant-Focused", ROUND(E26, 0), IF(LEFT($B$11,7)="Rainfed", 0, E28))) + IF(E20=$B$18, IF($B$15="Annual Pre-Sowing Flush", $F$12, IF(AND($B$15="Year 1 Reclamation Only", 6=1), $F$12, IF(AND($B$15="Bi-Annual Flush (Every 2 Yrs)", MOD(6,2)=1), $F$12, IF(AND($B$15="Manual Flushing Input", 6=1), $B$16, 0)))), 0))*$B$14 - (MAX(0, (IF(LEFT($B$11,7)="Plant &amp;", ROUND(E26 / (1 - $F$13), 0), IF(LEFT($B$11,13)="Plant-Focused", ROUND(E26, 0), IF(LEFT($B$11,7)="Rainfed", 0, E28))) + IF(E20=$B$18, IF($B$15="Annual Pre-Sowing Flush", $F$12, IF(AND($B$15="Year 1 Reclamation Only", 6=1), $F$12, IF(AND($B$15="Bi-Annual Flush (Every 2 Yrs)", MOD(6,2)=1), $F$12, IF(AND($B$15="Manual Flushing Input", 6=1), $B$16, 0)))), 0)) + E25 - E24)*E66)/$B$12) / (1 + MAX(0, (IF(LEFT($B$11,7)="Plant &amp;", ROUND(E26 / (1 - $F$13), 0), IF(LEFT($B$11,13)="Plant-Focused", ROUND(E26, 0), IF(LEFT($B$11,7)="Rainfed", 0, E28))) + IF(E20=$B$18, IF($B$15="Annual Pre-Sowing Flush", $F$12, IF(AND($B$15="Year 1 Reclamation Only", 6=1), $F$12, IF(AND($B$15="Bi-Annual Flush (Every 2 Yrs)", MOD(6,2)=1), $F$12, IF(AND($B$15="Manual Flushing Input", 6=1), $B$16, 0)))), 0)) + E25 - E24)/(2*$B$12))</f>
        <v>27.95923115994206</v>
      </c>
      <c r="F67" s="36">
        <f t="shared" si="26"/>
        <v>46.842524927308013</v>
      </c>
      <c r="G67" s="36">
        <f t="shared" si="26"/>
        <v>53.223100164172223</v>
      </c>
      <c r="H67" s="36">
        <f t="shared" si="26"/>
        <v>52.888091821640607</v>
      </c>
      <c r="I67" s="36">
        <f t="shared" si="26"/>
        <v>40.972738386586336</v>
      </c>
      <c r="J67" s="36">
        <f t="shared" si="26"/>
        <v>20.734424764841162</v>
      </c>
      <c r="K67" s="36">
        <f t="shared" si="26"/>
        <v>-190.08025997711383</v>
      </c>
      <c r="L67" s="36">
        <f t="shared" si="26"/>
        <v>-65.035282942732778</v>
      </c>
      <c r="M67" s="36">
        <f t="shared" si="26"/>
        <v>0</v>
      </c>
      <c r="N67" s="36">
        <f t="shared" si="26"/>
        <v>0</v>
      </c>
      <c r="O67" s="36">
        <f t="shared" si="26"/>
        <v>-21.446572806427035</v>
      </c>
      <c r="P67" s="36">
        <f t="shared" si="26"/>
        <v>-115.02454030550875</v>
      </c>
    </row>
    <row r="68" spans="1:16" ht="19.95" customHeight="1" x14ac:dyDescent="0.3">
      <c r="A68" s="70"/>
      <c r="B68" s="34" t="s">
        <v>318</v>
      </c>
      <c r="C68" s="23" t="s">
        <v>316</v>
      </c>
      <c r="D68" s="35">
        <f>AVERAGE(E68:P68)</f>
        <v>4082.0336795062153</v>
      </c>
      <c r="E68" s="36">
        <f t="shared" ref="E68:P68" si="27">E66 + E67</f>
        <v>4050.9637776571521</v>
      </c>
      <c r="F68" s="36">
        <f t="shared" si="27"/>
        <v>4097.8063025844604</v>
      </c>
      <c r="G68" s="36">
        <f t="shared" si="27"/>
        <v>4151.0294027486325</v>
      </c>
      <c r="H68" s="36">
        <f t="shared" si="27"/>
        <v>4203.9174945702734</v>
      </c>
      <c r="I68" s="36">
        <f t="shared" si="27"/>
        <v>4244.89023295686</v>
      </c>
      <c r="J68" s="36">
        <f t="shared" si="27"/>
        <v>4265.6246577217016</v>
      </c>
      <c r="K68" s="36">
        <f t="shared" si="27"/>
        <v>4075.544397744588</v>
      </c>
      <c r="L68" s="36">
        <f t="shared" si="27"/>
        <v>4010.509114801855</v>
      </c>
      <c r="M68" s="36">
        <f t="shared" si="27"/>
        <v>4010.509114801855</v>
      </c>
      <c r="N68" s="36">
        <f t="shared" si="27"/>
        <v>4010.509114801855</v>
      </c>
      <c r="O68" s="36">
        <f t="shared" si="27"/>
        <v>3989.0625419954281</v>
      </c>
      <c r="P68" s="36">
        <f t="shared" si="27"/>
        <v>3874.0380016899194</v>
      </c>
    </row>
    <row r="69" spans="1:16" ht="19.95" customHeight="1" x14ac:dyDescent="0.3">
      <c r="A69" s="71"/>
      <c r="B69" s="21" t="s">
        <v>319</v>
      </c>
      <c r="C69" s="23" t="s">
        <v>222</v>
      </c>
      <c r="D69" s="43">
        <f>AVERAGE(E69:P69)</f>
        <v>5.4718950127429151</v>
      </c>
      <c r="E69" s="44">
        <f t="shared" ref="E69:P69" si="28">E68 / (2 * $B$12)</f>
        <v>5.4302463507468524</v>
      </c>
      <c r="F69" s="44">
        <f t="shared" si="28"/>
        <v>5.4930379391212609</v>
      </c>
      <c r="G69" s="44">
        <f t="shared" si="28"/>
        <v>5.5643825774110356</v>
      </c>
      <c r="H69" s="44">
        <f t="shared" si="28"/>
        <v>5.6352781428555945</v>
      </c>
      <c r="I69" s="44">
        <f t="shared" si="28"/>
        <v>5.6902013846606705</v>
      </c>
      <c r="J69" s="44">
        <f t="shared" si="28"/>
        <v>5.7179955197341847</v>
      </c>
      <c r="K69" s="44">
        <f t="shared" si="28"/>
        <v>5.4631962436254531</v>
      </c>
      <c r="L69" s="44">
        <f t="shared" si="28"/>
        <v>5.376017580163345</v>
      </c>
      <c r="M69" s="44">
        <f t="shared" si="28"/>
        <v>5.376017580163345</v>
      </c>
      <c r="N69" s="44">
        <f t="shared" si="28"/>
        <v>5.376017580163345</v>
      </c>
      <c r="O69" s="44">
        <f t="shared" si="28"/>
        <v>5.3472688230501717</v>
      </c>
      <c r="P69" s="44">
        <f t="shared" si="28"/>
        <v>5.1930804312197312</v>
      </c>
    </row>
    <row r="70" spans="1:16" ht="10.199999999999999" customHeight="1" x14ac:dyDescent="0.3"/>
    <row r="72" spans="1:16" ht="19.95" customHeight="1" x14ac:dyDescent="0.3">
      <c r="A72" s="69" t="s">
        <v>325</v>
      </c>
      <c r="B72" s="21" t="s">
        <v>315</v>
      </c>
      <c r="C72" s="23" t="s">
        <v>316</v>
      </c>
      <c r="D72" s="35">
        <f>AVERAGE(E72:P72)</f>
        <v>3974.5571765438617</v>
      </c>
      <c r="E72" s="36">
        <f>P68</f>
        <v>3874.0380016899194</v>
      </c>
      <c r="F72" s="36">
        <f t="shared" ref="F72:P72" si="29">E74</f>
        <v>3906.7911970984737</v>
      </c>
      <c r="G72" s="36">
        <f t="shared" si="29"/>
        <v>3960.2428121627217</v>
      </c>
      <c r="H72" s="36">
        <f t="shared" si="29"/>
        <v>4022.3352195513348</v>
      </c>
      <c r="I72" s="36">
        <f t="shared" si="29"/>
        <v>4083.1972186776597</v>
      </c>
      <c r="J72" s="36">
        <f t="shared" si="29"/>
        <v>4129.7811777440338</v>
      </c>
      <c r="K72" s="36">
        <f t="shared" si="29"/>
        <v>4152.9582349802349</v>
      </c>
      <c r="L72" s="36">
        <f t="shared" si="29"/>
        <v>3967.8984971174195</v>
      </c>
      <c r="M72" s="36">
        <f t="shared" si="29"/>
        <v>3904.580967908099</v>
      </c>
      <c r="N72" s="36">
        <f t="shared" si="29"/>
        <v>3904.580967908099</v>
      </c>
      <c r="O72" s="36">
        <f t="shared" si="29"/>
        <v>3904.580967908099</v>
      </c>
      <c r="P72" s="36">
        <f t="shared" si="29"/>
        <v>3883.7008557802483</v>
      </c>
    </row>
    <row r="73" spans="1:16" ht="19.95" customHeight="1" x14ac:dyDescent="0.3">
      <c r="A73" s="70"/>
      <c r="B73" s="34" t="s">
        <v>317</v>
      </c>
      <c r="C73" s="23" t="s">
        <v>316</v>
      </c>
      <c r="D73" s="35">
        <f>SUM(E73:P73)</f>
        <v>-101.75245849239373</v>
      </c>
      <c r="E73" s="36">
        <f t="shared" ref="E73:P73" si="30">((IF(LEFT($B$11,7)="Plant &amp;", ROUND(E26 / (1 - $F$13), 0), IF(LEFT($B$11,13)="Plant-Focused", ROUND(E26, 0), IF(LEFT($B$11,7)="Rainfed", 0, E28))) + IF(E20=$B$18, IF($B$15="Annual Pre-Sowing Flush", $F$12, IF(AND($B$15="Year 1 Reclamation Only", 7=1), $F$12, IF(AND($B$15="Bi-Annual Flush (Every 2 Yrs)", MOD(7,2)=1), $F$12, IF(AND($B$15="Manual Flushing Input", 7=1), $B$16, 0)))), 0))*$B$14 - (MAX(0, (IF(LEFT($B$11,7)="Plant &amp;", ROUND(E26 / (1 - $F$13), 0), IF(LEFT($B$11,13)="Plant-Focused", ROUND(E26, 0), IF(LEFT($B$11,7)="Rainfed", 0, E28))) + IF(E20=$B$18, IF($B$15="Annual Pre-Sowing Flush", $F$12, IF(AND($B$15="Year 1 Reclamation Only", 7=1), $F$12, IF(AND($B$15="Bi-Annual Flush (Every 2 Yrs)", MOD(7,2)=1), $F$12, IF(AND($B$15="Manual Flushing Input", 7=1), $B$16, 0)))), 0)) + E25 - E24)*E72)/$B$12) / (1 + MAX(0, (IF(LEFT($B$11,7)="Plant &amp;", ROUND(E26 / (1 - $F$13), 0), IF(LEFT($B$11,13)="Plant-Focused", ROUND(E26, 0), IF(LEFT($B$11,7)="Rainfed", 0, E28))) + IF(E20=$B$18, IF($B$15="Annual Pre-Sowing Flush", $F$12, IF(AND($B$15="Year 1 Reclamation Only", 7=1), $F$12, IF(AND($B$15="Bi-Annual Flush (Every 2 Yrs)", MOD(7,2)=1), $F$12, IF(AND($B$15="Manual Flushing Input", 7=1), $B$16, 0)))), 0)) + E25 - E24)/(2*$B$12))</f>
        <v>32.753195408554404</v>
      </c>
      <c r="F73" s="36">
        <f t="shared" si="30"/>
        <v>53.451615064248081</v>
      </c>
      <c r="G73" s="36">
        <f t="shared" si="30"/>
        <v>62.092407388613303</v>
      </c>
      <c r="H73" s="36">
        <f t="shared" si="30"/>
        <v>60.861999126324804</v>
      </c>
      <c r="I73" s="36">
        <f t="shared" si="30"/>
        <v>46.583959066373936</v>
      </c>
      <c r="J73" s="36">
        <f t="shared" si="30"/>
        <v>23.177057236200874</v>
      </c>
      <c r="K73" s="36">
        <f t="shared" si="30"/>
        <v>-185.05973786281521</v>
      </c>
      <c r="L73" s="36">
        <f t="shared" si="30"/>
        <v>-63.317529209320526</v>
      </c>
      <c r="M73" s="36">
        <f t="shared" si="30"/>
        <v>0</v>
      </c>
      <c r="N73" s="36">
        <f t="shared" si="30"/>
        <v>0</v>
      </c>
      <c r="O73" s="36">
        <f t="shared" si="30"/>
        <v>-20.880112127850797</v>
      </c>
      <c r="P73" s="36">
        <f t="shared" si="30"/>
        <v>-111.41531258272262</v>
      </c>
    </row>
    <row r="74" spans="1:16" ht="19.95" customHeight="1" x14ac:dyDescent="0.3">
      <c r="A74" s="70"/>
      <c r="B74" s="34" t="s">
        <v>318</v>
      </c>
      <c r="C74" s="23" t="s">
        <v>316</v>
      </c>
      <c r="D74" s="35">
        <f>AVERAGE(E74:P74)</f>
        <v>3966.0778050028293</v>
      </c>
      <c r="E74" s="36">
        <f t="shared" ref="E74:P74" si="31">E72 + E73</f>
        <v>3906.7911970984737</v>
      </c>
      <c r="F74" s="36">
        <f t="shared" si="31"/>
        <v>3960.2428121627217</v>
      </c>
      <c r="G74" s="36">
        <f t="shared" si="31"/>
        <v>4022.3352195513348</v>
      </c>
      <c r="H74" s="36">
        <f t="shared" si="31"/>
        <v>4083.1972186776597</v>
      </c>
      <c r="I74" s="36">
        <f t="shared" si="31"/>
        <v>4129.7811777440338</v>
      </c>
      <c r="J74" s="36">
        <f t="shared" si="31"/>
        <v>4152.9582349802349</v>
      </c>
      <c r="K74" s="36">
        <f t="shared" si="31"/>
        <v>3967.8984971174195</v>
      </c>
      <c r="L74" s="36">
        <f t="shared" si="31"/>
        <v>3904.580967908099</v>
      </c>
      <c r="M74" s="36">
        <f t="shared" si="31"/>
        <v>3904.580967908099</v>
      </c>
      <c r="N74" s="36">
        <f t="shared" si="31"/>
        <v>3904.580967908099</v>
      </c>
      <c r="O74" s="36">
        <f t="shared" si="31"/>
        <v>3883.7008557802483</v>
      </c>
      <c r="P74" s="36">
        <f t="shared" si="31"/>
        <v>3772.2855431975258</v>
      </c>
    </row>
    <row r="75" spans="1:16" ht="19.95" customHeight="1" x14ac:dyDescent="0.3">
      <c r="A75" s="71"/>
      <c r="B75" s="21" t="s">
        <v>319</v>
      </c>
      <c r="C75" s="23" t="s">
        <v>222</v>
      </c>
      <c r="D75" s="43">
        <f>AVERAGE(E75:P75)</f>
        <v>5.3164581836499059</v>
      </c>
      <c r="E75" s="44">
        <f t="shared" ref="E75:P75" si="32">E74 / (2 * $B$12)</f>
        <v>5.2369855188987584</v>
      </c>
      <c r="F75" s="44">
        <f t="shared" si="32"/>
        <v>5.3086364774299222</v>
      </c>
      <c r="G75" s="44">
        <f t="shared" si="32"/>
        <v>5.3918702674950865</v>
      </c>
      <c r="H75" s="44">
        <f t="shared" si="32"/>
        <v>5.4734547167260859</v>
      </c>
      <c r="I75" s="44">
        <f t="shared" si="32"/>
        <v>5.5358997020697505</v>
      </c>
      <c r="J75" s="44">
        <f t="shared" si="32"/>
        <v>5.5669681434051403</v>
      </c>
      <c r="K75" s="44">
        <f t="shared" si="32"/>
        <v>5.3188987897016347</v>
      </c>
      <c r="L75" s="44">
        <f t="shared" si="32"/>
        <v>5.2340227451851193</v>
      </c>
      <c r="M75" s="44">
        <f t="shared" si="32"/>
        <v>5.2340227451851193</v>
      </c>
      <c r="N75" s="44">
        <f t="shared" si="32"/>
        <v>5.2340227451851193</v>
      </c>
      <c r="O75" s="44">
        <f t="shared" si="32"/>
        <v>5.2060333187402792</v>
      </c>
      <c r="P75" s="44">
        <f t="shared" si="32"/>
        <v>5.056683033776844</v>
      </c>
    </row>
    <row r="76" spans="1:16" ht="10.199999999999999" customHeight="1" x14ac:dyDescent="0.3"/>
    <row r="78" spans="1:16" ht="19.95" customHeight="1" x14ac:dyDescent="0.3">
      <c r="A78" s="69" t="s">
        <v>326</v>
      </c>
      <c r="B78" s="21" t="s">
        <v>315</v>
      </c>
      <c r="C78" s="23" t="s">
        <v>316</v>
      </c>
      <c r="D78" s="35">
        <f>AVERAGE(E78:P78)</f>
        <v>3892.665359136332</v>
      </c>
      <c r="E78" s="36">
        <f>P74</f>
        <v>3772.2855431975258</v>
      </c>
      <c r="F78" s="36">
        <f t="shared" ref="F78:P78" si="33">E80</f>
        <v>3808.3132835641577</v>
      </c>
      <c r="G78" s="36">
        <f t="shared" si="33"/>
        <v>3866.2792758041765</v>
      </c>
      <c r="H78" s="36">
        <f t="shared" si="33"/>
        <v>3934.4299146995936</v>
      </c>
      <c r="I78" s="36">
        <f t="shared" si="33"/>
        <v>4000.7385372479202</v>
      </c>
      <c r="J78" s="36">
        <f t="shared" si="33"/>
        <v>4051.155272996135</v>
      </c>
      <c r="K78" s="36">
        <f t="shared" si="33"/>
        <v>4076.0007844444926</v>
      </c>
      <c r="L78" s="36">
        <f t="shared" si="33"/>
        <v>3894.3703431979493</v>
      </c>
      <c r="M78" s="36">
        <f t="shared" si="33"/>
        <v>3832.2261355937267</v>
      </c>
      <c r="N78" s="36">
        <f t="shared" si="33"/>
        <v>3832.2261355937267</v>
      </c>
      <c r="O78" s="36">
        <f t="shared" si="33"/>
        <v>3832.2261355937267</v>
      </c>
      <c r="P78" s="36">
        <f t="shared" si="33"/>
        <v>3811.7329477028511</v>
      </c>
    </row>
    <row r="79" spans="1:16" ht="19.95" customHeight="1" x14ac:dyDescent="0.3">
      <c r="A79" s="70"/>
      <c r="B79" s="34" t="s">
        <v>317</v>
      </c>
      <c r="C79" s="23" t="s">
        <v>316</v>
      </c>
      <c r="D79" s="35">
        <f>SUM(E79:P79)</f>
        <v>-69.50260424338903</v>
      </c>
      <c r="E79" s="36">
        <f t="shared" ref="E79:P79" si="34">((IF(LEFT($B$11,7)="Plant &amp;", ROUND(E26 / (1 - $F$13), 0), IF(LEFT($B$11,13)="Plant-Focused", ROUND(E26, 0), IF(LEFT($B$11,7)="Rainfed", 0, E28))) + IF(E20=$B$18, IF($B$15="Annual Pre-Sowing Flush", $F$12, IF(AND($B$15="Year 1 Reclamation Only", 8=1), $F$12, IF(AND($B$15="Bi-Annual Flush (Every 2 Yrs)", MOD(8,2)=1), $F$12, IF(AND($B$15="Manual Flushing Input", 8=1), $B$16, 0)))), 0))*$B$14 - (MAX(0, (IF(LEFT($B$11,7)="Plant &amp;", ROUND(E26 / (1 - $F$13), 0), IF(LEFT($B$11,13)="Plant-Focused", ROUND(E26, 0), IF(LEFT($B$11,7)="Rainfed", 0, E28))) + IF(E20=$B$18, IF($B$15="Annual Pre-Sowing Flush", $F$12, IF(AND($B$15="Year 1 Reclamation Only", 8=1), $F$12, IF(AND($B$15="Bi-Annual Flush (Every 2 Yrs)", MOD(8,2)=1), $F$12, IF(AND($B$15="Manual Flushing Input", 8=1), $B$16, 0)))), 0)) + E25 - E24)*E78)/$B$12) / (1 + MAX(0, (IF(LEFT($B$11,7)="Plant &amp;", ROUND(E26 / (1 - $F$13), 0), IF(LEFT($B$11,13)="Plant-Focused", ROUND(E26, 0), IF(LEFT($B$11,7)="Rainfed", 0, E28))) + IF(E20=$B$18, IF($B$15="Annual Pre-Sowing Flush", $F$12, IF(AND($B$15="Year 1 Reclamation Only", 8=1), $F$12, IF(AND($B$15="Bi-Annual Flush (Every 2 Yrs)", MOD(8,2)=1), $F$12, IF(AND($B$15="Manual Flushing Input", 8=1), $B$16, 0)))), 0)) + E25 - E24)/(2*$B$12))</f>
        <v>36.02774036663196</v>
      </c>
      <c r="F79" s="36">
        <f t="shared" si="34"/>
        <v>57.965992240018963</v>
      </c>
      <c r="G79" s="36">
        <f t="shared" si="34"/>
        <v>68.150638895417075</v>
      </c>
      <c r="H79" s="36">
        <f t="shared" si="34"/>
        <v>66.308622548326582</v>
      </c>
      <c r="I79" s="36">
        <f t="shared" si="34"/>
        <v>50.416735748214535</v>
      </c>
      <c r="J79" s="36">
        <f t="shared" si="34"/>
        <v>24.845511448357879</v>
      </c>
      <c r="K79" s="36">
        <f t="shared" si="34"/>
        <v>-181.63044124654357</v>
      </c>
      <c r="L79" s="36">
        <f t="shared" si="34"/>
        <v>-62.144207604222601</v>
      </c>
      <c r="M79" s="36">
        <f t="shared" si="34"/>
        <v>0</v>
      </c>
      <c r="N79" s="36">
        <f t="shared" si="34"/>
        <v>0</v>
      </c>
      <c r="O79" s="36">
        <f t="shared" si="34"/>
        <v>-20.493187890875543</v>
      </c>
      <c r="P79" s="36">
        <f t="shared" si="34"/>
        <v>-108.95000874871428</v>
      </c>
    </row>
    <row r="80" spans="1:16" ht="19.95" customHeight="1" x14ac:dyDescent="0.3">
      <c r="A80" s="70"/>
      <c r="B80" s="34" t="s">
        <v>318</v>
      </c>
      <c r="C80" s="23" t="s">
        <v>316</v>
      </c>
      <c r="D80" s="35">
        <f>AVERAGE(E80:P80)</f>
        <v>3886.8734754493835</v>
      </c>
      <c r="E80" s="36">
        <f t="shared" ref="E80:P80" si="35">E78 + E79</f>
        <v>3808.3132835641577</v>
      </c>
      <c r="F80" s="36">
        <f t="shared" si="35"/>
        <v>3866.2792758041765</v>
      </c>
      <c r="G80" s="36">
        <f t="shared" si="35"/>
        <v>3934.4299146995936</v>
      </c>
      <c r="H80" s="36">
        <f t="shared" si="35"/>
        <v>4000.7385372479202</v>
      </c>
      <c r="I80" s="36">
        <f t="shared" si="35"/>
        <v>4051.155272996135</v>
      </c>
      <c r="J80" s="36">
        <f t="shared" si="35"/>
        <v>4076.0007844444926</v>
      </c>
      <c r="K80" s="36">
        <f t="shared" si="35"/>
        <v>3894.3703431979493</v>
      </c>
      <c r="L80" s="36">
        <f t="shared" si="35"/>
        <v>3832.2261355937267</v>
      </c>
      <c r="M80" s="36">
        <f t="shared" si="35"/>
        <v>3832.2261355937267</v>
      </c>
      <c r="N80" s="36">
        <f t="shared" si="35"/>
        <v>3832.2261355937267</v>
      </c>
      <c r="O80" s="36">
        <f t="shared" si="35"/>
        <v>3811.7329477028511</v>
      </c>
      <c r="P80" s="36">
        <f t="shared" si="35"/>
        <v>3702.7829389541366</v>
      </c>
    </row>
    <row r="81" spans="1:16" ht="19.95" customHeight="1" x14ac:dyDescent="0.3">
      <c r="A81" s="71"/>
      <c r="B81" s="21" t="s">
        <v>319</v>
      </c>
      <c r="C81" s="23" t="s">
        <v>222</v>
      </c>
      <c r="D81" s="43">
        <f>AVERAGE(E81:P81)</f>
        <v>5.210286160119816</v>
      </c>
      <c r="E81" s="44">
        <f t="shared" ref="E81:P81" si="36">E80 / (2 * $B$12)</f>
        <v>5.1049775919090585</v>
      </c>
      <c r="F81" s="44">
        <f t="shared" si="36"/>
        <v>5.1826799943755715</v>
      </c>
      <c r="G81" s="44">
        <f t="shared" si="36"/>
        <v>5.2740347382032082</v>
      </c>
      <c r="H81" s="44">
        <f t="shared" si="36"/>
        <v>5.3629202912170513</v>
      </c>
      <c r="I81" s="44">
        <f t="shared" si="36"/>
        <v>5.430503046911709</v>
      </c>
      <c r="J81" s="44">
        <f t="shared" si="36"/>
        <v>5.4638080220435556</v>
      </c>
      <c r="K81" s="44">
        <f t="shared" si="36"/>
        <v>5.2203355806943019</v>
      </c>
      <c r="L81" s="44">
        <f t="shared" si="36"/>
        <v>5.1370323533427973</v>
      </c>
      <c r="M81" s="44">
        <f t="shared" si="36"/>
        <v>5.1370323533427973</v>
      </c>
      <c r="N81" s="44">
        <f t="shared" si="36"/>
        <v>5.1370323533427973</v>
      </c>
      <c r="O81" s="44">
        <f t="shared" si="36"/>
        <v>5.1095615920949751</v>
      </c>
      <c r="P81" s="44">
        <f t="shared" si="36"/>
        <v>4.9635160039599686</v>
      </c>
    </row>
    <row r="82" spans="1:16" ht="10.199999999999999" customHeight="1" x14ac:dyDescent="0.3"/>
    <row r="84" spans="1:16" ht="19.95" customHeight="1" x14ac:dyDescent="0.3">
      <c r="A84" s="69" t="s">
        <v>327</v>
      </c>
      <c r="B84" s="21" t="s">
        <v>315</v>
      </c>
      <c r="C84" s="23" t="s">
        <v>316</v>
      </c>
      <c r="D84" s="35">
        <f>AVERAGE(E84:P84)</f>
        <v>3836.7286804518267</v>
      </c>
      <c r="E84" s="36">
        <f>P80</f>
        <v>3702.7829389541366</v>
      </c>
      <c r="F84" s="36">
        <f t="shared" ref="F84:P84" si="37">E86</f>
        <v>3741.0473761600442</v>
      </c>
      <c r="G84" s="36">
        <f t="shared" si="37"/>
        <v>3802.0969397938338</v>
      </c>
      <c r="H84" s="36">
        <f t="shared" si="37"/>
        <v>3874.3856886973122</v>
      </c>
      <c r="I84" s="36">
        <f t="shared" si="37"/>
        <v>3944.4146588202425</v>
      </c>
      <c r="J84" s="36">
        <f t="shared" si="37"/>
        <v>3997.4493948096124</v>
      </c>
      <c r="K84" s="36">
        <f t="shared" si="37"/>
        <v>4023.4345535404427</v>
      </c>
      <c r="L84" s="36">
        <f t="shared" si="37"/>
        <v>3844.1465131467662</v>
      </c>
      <c r="M84" s="36">
        <f t="shared" si="37"/>
        <v>3782.8037496391053</v>
      </c>
      <c r="N84" s="36">
        <f t="shared" si="37"/>
        <v>3782.8037496391053</v>
      </c>
      <c r="O84" s="36">
        <f t="shared" si="37"/>
        <v>3782.8037496391053</v>
      </c>
      <c r="P84" s="36">
        <f t="shared" si="37"/>
        <v>3762.5748525822119</v>
      </c>
    </row>
    <row r="85" spans="1:16" ht="19.95" customHeight="1" x14ac:dyDescent="0.3">
      <c r="A85" s="70"/>
      <c r="B85" s="34" t="s">
        <v>317</v>
      </c>
      <c r="C85" s="23" t="s">
        <v>316</v>
      </c>
      <c r="D85" s="35">
        <f>SUM(E85:P85)</f>
        <v>-47.474155103331015</v>
      </c>
      <c r="E85" s="36">
        <f t="shared" ref="E85:P85" si="38">((IF(LEFT($B$11,7)="Plant &amp;", ROUND(E26 / (1 - $F$13), 0), IF(LEFT($B$11,13)="Plant-Focused", ROUND(E26, 0), IF(LEFT($B$11,7)="Rainfed", 0, E28))) + IF(E20=$B$18, IF($B$15="Annual Pre-Sowing Flush", $F$12, IF(AND($B$15="Year 1 Reclamation Only", 9=1), $F$12, IF(AND($B$15="Bi-Annual Flush (Every 2 Yrs)", MOD(9,2)=1), $F$12, IF(AND($B$15="Manual Flushing Input", 9=1), $B$16, 0)))), 0))*$B$14 - (MAX(0, (IF(LEFT($B$11,7)="Plant &amp;", ROUND(E26 / (1 - $F$13), 0), IF(LEFT($B$11,13)="Plant-Focused", ROUND(E26, 0), IF(LEFT($B$11,7)="Rainfed", 0, E28))) + IF(E20=$B$18, IF($B$15="Annual Pre-Sowing Flush", $F$12, IF(AND($B$15="Year 1 Reclamation Only", 9=1), $F$12, IF(AND($B$15="Bi-Annual Flush (Every 2 Yrs)", MOD(9,2)=1), $F$12, IF(AND($B$15="Manual Flushing Input", 9=1), $B$16, 0)))), 0)) + E25 - E24)*E84)/$B$12) / (1 + MAX(0, (IF(LEFT($B$11,7)="Plant &amp;", ROUND(E26 / (1 - $F$13), 0), IF(LEFT($B$11,13)="Plant-Focused", ROUND(E26, 0), IF(LEFT($B$11,7)="Rainfed", 0, E28))) + IF(E20=$B$18, IF($B$15="Annual Pre-Sowing Flush", $F$12, IF(AND($B$15="Year 1 Reclamation Only", 9=1), $F$12, IF(AND($B$15="Bi-Annual Flush (Every 2 Yrs)", MOD(9,2)=1), $F$12, IF(AND($B$15="Manual Flushing Input", 9=1), $B$16, 0)))), 0)) + E25 - E24)/(2*$B$12))</f>
        <v>38.264437205907477</v>
      </c>
      <c r="F85" s="36">
        <f t="shared" si="38"/>
        <v>61.049563633789717</v>
      </c>
      <c r="G85" s="36">
        <f t="shared" si="38"/>
        <v>72.28874890347835</v>
      </c>
      <c r="H85" s="36">
        <f t="shared" si="38"/>
        <v>70.028970122930474</v>
      </c>
      <c r="I85" s="36">
        <f t="shared" si="38"/>
        <v>53.034735989370063</v>
      </c>
      <c r="J85" s="36">
        <f t="shared" si="38"/>
        <v>25.985158730830513</v>
      </c>
      <c r="K85" s="36">
        <f t="shared" si="38"/>
        <v>-179.28804039367637</v>
      </c>
      <c r="L85" s="36">
        <f t="shared" si="38"/>
        <v>-61.342763507661161</v>
      </c>
      <c r="M85" s="36">
        <f t="shared" si="38"/>
        <v>0</v>
      </c>
      <c r="N85" s="36">
        <f t="shared" si="38"/>
        <v>0</v>
      </c>
      <c r="O85" s="36">
        <f t="shared" si="38"/>
        <v>-20.228897056893612</v>
      </c>
      <c r="P85" s="36">
        <f t="shared" si="38"/>
        <v>-107.26606873140648</v>
      </c>
    </row>
    <row r="86" spans="1:16" ht="19.95" customHeight="1" x14ac:dyDescent="0.3">
      <c r="A86" s="70"/>
      <c r="B86" s="34" t="s">
        <v>318</v>
      </c>
      <c r="C86" s="23" t="s">
        <v>316</v>
      </c>
      <c r="D86" s="35">
        <f>AVERAGE(E86:P86)</f>
        <v>3832.7725008598823</v>
      </c>
      <c r="E86" s="36">
        <f t="shared" ref="E86:P86" si="39">E84 + E85</f>
        <v>3741.0473761600442</v>
      </c>
      <c r="F86" s="36">
        <f t="shared" si="39"/>
        <v>3802.0969397938338</v>
      </c>
      <c r="G86" s="36">
        <f t="shared" si="39"/>
        <v>3874.3856886973122</v>
      </c>
      <c r="H86" s="36">
        <f t="shared" si="39"/>
        <v>3944.4146588202425</v>
      </c>
      <c r="I86" s="36">
        <f t="shared" si="39"/>
        <v>3997.4493948096124</v>
      </c>
      <c r="J86" s="36">
        <f t="shared" si="39"/>
        <v>4023.4345535404427</v>
      </c>
      <c r="K86" s="36">
        <f t="shared" si="39"/>
        <v>3844.1465131467662</v>
      </c>
      <c r="L86" s="36">
        <f t="shared" si="39"/>
        <v>3782.8037496391053</v>
      </c>
      <c r="M86" s="36">
        <f t="shared" si="39"/>
        <v>3782.8037496391053</v>
      </c>
      <c r="N86" s="36">
        <f t="shared" si="39"/>
        <v>3782.8037496391053</v>
      </c>
      <c r="O86" s="36">
        <f t="shared" si="39"/>
        <v>3762.5748525822119</v>
      </c>
      <c r="P86" s="36">
        <f t="shared" si="39"/>
        <v>3655.3087838508054</v>
      </c>
    </row>
    <row r="87" spans="1:16" ht="19.95" customHeight="1" x14ac:dyDescent="0.3">
      <c r="A87" s="71"/>
      <c r="B87" s="21" t="s">
        <v>319</v>
      </c>
      <c r="C87" s="23" t="s">
        <v>222</v>
      </c>
      <c r="D87" s="43">
        <f>AVERAGE(E87:P87)</f>
        <v>5.1377647464609693</v>
      </c>
      <c r="E87" s="44">
        <f t="shared" ref="E87:P87" si="40">E86 / (2 * $B$12)</f>
        <v>5.0148088152279415</v>
      </c>
      <c r="F87" s="44">
        <f t="shared" si="40"/>
        <v>5.0966446914126458</v>
      </c>
      <c r="G87" s="44">
        <f t="shared" si="40"/>
        <v>5.1935464995942526</v>
      </c>
      <c r="H87" s="44">
        <f t="shared" si="40"/>
        <v>5.2874191137000572</v>
      </c>
      <c r="I87" s="44">
        <f t="shared" si="40"/>
        <v>5.3585112530959949</v>
      </c>
      <c r="J87" s="44">
        <f t="shared" si="40"/>
        <v>5.3933439055501911</v>
      </c>
      <c r="K87" s="44">
        <f t="shared" si="40"/>
        <v>5.1530114117248873</v>
      </c>
      <c r="L87" s="44">
        <f t="shared" si="40"/>
        <v>5.0707825062186398</v>
      </c>
      <c r="M87" s="44">
        <f t="shared" si="40"/>
        <v>5.0707825062186398</v>
      </c>
      <c r="N87" s="44">
        <f t="shared" si="40"/>
        <v>5.0707825062186398</v>
      </c>
      <c r="O87" s="44">
        <f t="shared" si="40"/>
        <v>5.043666022228166</v>
      </c>
      <c r="P87" s="44">
        <f t="shared" si="40"/>
        <v>4.899877726341562</v>
      </c>
    </row>
    <row r="88" spans="1:16" ht="10.199999999999999" customHeight="1" x14ac:dyDescent="0.3"/>
    <row r="90" spans="1:16" ht="19.95" customHeight="1" x14ac:dyDescent="0.3">
      <c r="A90" s="69" t="s">
        <v>328</v>
      </c>
      <c r="B90" s="21" t="s">
        <v>315</v>
      </c>
      <c r="C90" s="23" t="s">
        <v>316</v>
      </c>
      <c r="D90" s="35">
        <f>AVERAGE(E90:P90)</f>
        <v>3798.520809124675</v>
      </c>
      <c r="E90" s="36">
        <f>P86</f>
        <v>3655.3087838508054</v>
      </c>
      <c r="F90" s="36">
        <f t="shared" ref="F90:P90" si="41">E92</f>
        <v>3695.1010097464005</v>
      </c>
      <c r="G90" s="36">
        <f t="shared" si="41"/>
        <v>3758.2568246237756</v>
      </c>
      <c r="H90" s="36">
        <f t="shared" si="41"/>
        <v>3833.3721334597335</v>
      </c>
      <c r="I90" s="36">
        <f t="shared" si="41"/>
        <v>3905.9423084730097</v>
      </c>
      <c r="J90" s="36">
        <f t="shared" si="41"/>
        <v>3960.7652846421856</v>
      </c>
      <c r="K90" s="36">
        <f t="shared" si="41"/>
        <v>3987.5288860290889</v>
      </c>
      <c r="L90" s="36">
        <f t="shared" si="41"/>
        <v>3809.8408360618687</v>
      </c>
      <c r="M90" s="36">
        <f t="shared" si="41"/>
        <v>3749.0455035715199</v>
      </c>
      <c r="N90" s="36">
        <f t="shared" si="41"/>
        <v>3749.0455035715199</v>
      </c>
      <c r="O90" s="36">
        <f t="shared" si="41"/>
        <v>3749.0455035715199</v>
      </c>
      <c r="P90" s="36">
        <f t="shared" si="41"/>
        <v>3728.9971318946668</v>
      </c>
    </row>
    <row r="91" spans="1:16" ht="19.95" customHeight="1" x14ac:dyDescent="0.3">
      <c r="A91" s="70"/>
      <c r="B91" s="34" t="s">
        <v>317</v>
      </c>
      <c r="C91" s="23" t="s">
        <v>316</v>
      </c>
      <c r="D91" s="35">
        <f>SUM(E91:P91)</f>
        <v>-32.427495736456507</v>
      </c>
      <c r="E91" s="36">
        <f t="shared" ref="E91:P91" si="42">((IF(LEFT($B$11,7)="Plant &amp;", ROUND(E26 / (1 - $F$13), 0), IF(LEFT($B$11,13)="Plant-Focused", ROUND(E26, 0), IF(LEFT($B$11,7)="Rainfed", 0, E28))) + IF(E20=$B$18, IF($B$15="Annual Pre-Sowing Flush", $F$12, IF(AND($B$15="Year 1 Reclamation Only", 10=1), $F$12, IF(AND($B$15="Bi-Annual Flush (Every 2 Yrs)", MOD(10,2)=1), $F$12, IF(AND($B$15="Manual Flushing Input", 10=1), $B$16, 0)))), 0))*$B$14 - (MAX(0, (IF(LEFT($B$11,7)="Plant &amp;", ROUND(E26 / (1 - $F$13), 0), IF(LEFT($B$11,13)="Plant-Focused", ROUND(E26, 0), IF(LEFT($B$11,7)="Rainfed", 0, E28))) + IF(E20=$B$18, IF($B$15="Annual Pre-Sowing Flush", $F$12, IF(AND($B$15="Year 1 Reclamation Only", 10=1), $F$12, IF(AND($B$15="Bi-Annual Flush (Every 2 Yrs)", MOD(10,2)=1), $F$12, IF(AND($B$15="Manual Flushing Input", 10=1), $B$16, 0)))), 0)) + E25 - E24)*E90)/$B$12) / (1 + MAX(0, (IF(LEFT($B$11,7)="Plant &amp;", ROUND(E26 / (1 - $F$13), 0), IF(LEFT($B$11,13)="Plant-Focused", ROUND(E26, 0), IF(LEFT($B$11,7)="Rainfed", 0, E28))) + IF(E20=$B$18, IF($B$15="Annual Pre-Sowing Flush", $F$12, IF(AND($B$15="Year 1 Reclamation Only", 10=1), $F$12, IF(AND($B$15="Bi-Annual Flush (Every 2 Yrs)", MOD(10,2)=1), $F$12, IF(AND($B$15="Manual Flushing Input", 10=1), $B$16, 0)))), 0)) + E25 - E24)/(2*$B$12))</f>
        <v>39.792225895595266</v>
      </c>
      <c r="F91" s="36">
        <f t="shared" si="42"/>
        <v>63.155814877375207</v>
      </c>
      <c r="G91" s="36">
        <f t="shared" si="42"/>
        <v>75.115308835957947</v>
      </c>
      <c r="H91" s="36">
        <f t="shared" si="42"/>
        <v>72.570175013276014</v>
      </c>
      <c r="I91" s="36">
        <f t="shared" si="42"/>
        <v>54.822976169175995</v>
      </c>
      <c r="J91" s="36">
        <f t="shared" si="42"/>
        <v>26.763601386903218</v>
      </c>
      <c r="K91" s="36">
        <f t="shared" si="42"/>
        <v>-177.68804996722022</v>
      </c>
      <c r="L91" s="36">
        <f t="shared" si="42"/>
        <v>-60.795332490348969</v>
      </c>
      <c r="M91" s="36">
        <f t="shared" si="42"/>
        <v>0</v>
      </c>
      <c r="N91" s="36">
        <f t="shared" si="42"/>
        <v>0</v>
      </c>
      <c r="O91" s="36">
        <f t="shared" si="42"/>
        <v>-20.048371676853048</v>
      </c>
      <c r="P91" s="36">
        <f t="shared" si="42"/>
        <v>-106.11584378031796</v>
      </c>
    </row>
    <row r="92" spans="1:16" ht="19.95" customHeight="1" x14ac:dyDescent="0.3">
      <c r="A92" s="70"/>
      <c r="B92" s="34" t="s">
        <v>318</v>
      </c>
      <c r="C92" s="23" t="s">
        <v>316</v>
      </c>
      <c r="D92" s="35">
        <f>AVERAGE(E92:P92)</f>
        <v>3795.8185178133031</v>
      </c>
      <c r="E92" s="36">
        <f t="shared" ref="E92:P92" si="43">E90 + E91</f>
        <v>3695.1010097464005</v>
      </c>
      <c r="F92" s="36">
        <f t="shared" si="43"/>
        <v>3758.2568246237756</v>
      </c>
      <c r="G92" s="36">
        <f t="shared" si="43"/>
        <v>3833.3721334597335</v>
      </c>
      <c r="H92" s="36">
        <f t="shared" si="43"/>
        <v>3905.9423084730097</v>
      </c>
      <c r="I92" s="36">
        <f t="shared" si="43"/>
        <v>3960.7652846421856</v>
      </c>
      <c r="J92" s="36">
        <f t="shared" si="43"/>
        <v>3987.5288860290889</v>
      </c>
      <c r="K92" s="36">
        <f t="shared" si="43"/>
        <v>3809.8408360618687</v>
      </c>
      <c r="L92" s="36">
        <f t="shared" si="43"/>
        <v>3749.0455035715199</v>
      </c>
      <c r="M92" s="36">
        <f t="shared" si="43"/>
        <v>3749.0455035715199</v>
      </c>
      <c r="N92" s="36">
        <f t="shared" si="43"/>
        <v>3749.0455035715199</v>
      </c>
      <c r="O92" s="36">
        <f t="shared" si="43"/>
        <v>3728.9971318946668</v>
      </c>
      <c r="P92" s="36">
        <f t="shared" si="43"/>
        <v>3622.881288114349</v>
      </c>
    </row>
    <row r="93" spans="1:16" ht="19.95" customHeight="1" x14ac:dyDescent="0.3">
      <c r="A93" s="71"/>
      <c r="B93" s="21" t="s">
        <v>319</v>
      </c>
      <c r="C93" s="23" t="s">
        <v>222</v>
      </c>
      <c r="D93" s="43">
        <f>AVERAGE(E93:P93)</f>
        <v>5.0882285761572428</v>
      </c>
      <c r="E93" s="44">
        <f t="shared" ref="E93:P93" si="44">E92 / (2 * $B$12)</f>
        <v>4.9532185117243976</v>
      </c>
      <c r="F93" s="44">
        <f t="shared" si="44"/>
        <v>5.0378777809970181</v>
      </c>
      <c r="G93" s="44">
        <f t="shared" si="44"/>
        <v>5.138568543511707</v>
      </c>
      <c r="H93" s="44">
        <f t="shared" si="44"/>
        <v>5.2358475984892889</v>
      </c>
      <c r="I93" s="44">
        <f t="shared" si="44"/>
        <v>5.3093368426838952</v>
      </c>
      <c r="J93" s="44">
        <f t="shared" si="44"/>
        <v>5.3452129839532025</v>
      </c>
      <c r="K93" s="44">
        <f t="shared" si="44"/>
        <v>5.1070252494126924</v>
      </c>
      <c r="L93" s="44">
        <f t="shared" si="44"/>
        <v>5.0255301656454687</v>
      </c>
      <c r="M93" s="44">
        <f t="shared" si="44"/>
        <v>5.0255301656454687</v>
      </c>
      <c r="N93" s="44">
        <f t="shared" si="44"/>
        <v>5.0255301656454687</v>
      </c>
      <c r="O93" s="44">
        <f t="shared" si="44"/>
        <v>4.9986556727810552</v>
      </c>
      <c r="P93" s="44">
        <f t="shared" si="44"/>
        <v>4.8564092333972511</v>
      </c>
    </row>
    <row r="94" spans="1:16" ht="10.199999999999999" customHeight="1" x14ac:dyDescent="0.3"/>
    <row r="96" spans="1:16" ht="24" customHeight="1" x14ac:dyDescent="0.3">
      <c r="A96" s="67" t="s">
        <v>329</v>
      </c>
      <c r="B96" s="68"/>
      <c r="C96" s="68"/>
      <c r="D96" s="68"/>
      <c r="E96" s="68"/>
      <c r="F96" s="68"/>
      <c r="G96" s="68"/>
      <c r="H96" s="68"/>
      <c r="I96" s="68"/>
      <c r="J96" s="68"/>
      <c r="K96" s="68"/>
      <c r="L96" s="68"/>
      <c r="M96" s="68"/>
      <c r="N96" s="68"/>
      <c r="O96" s="68"/>
      <c r="P96" s="68"/>
    </row>
    <row r="97" spans="1:5" ht="24" customHeight="1" x14ac:dyDescent="0.3">
      <c r="A97" s="31" t="s">
        <v>330</v>
      </c>
      <c r="B97" s="31" t="s">
        <v>331</v>
      </c>
      <c r="C97" s="31" t="s">
        <v>283</v>
      </c>
      <c r="D97" s="31" t="s">
        <v>332</v>
      </c>
      <c r="E97" s="31" t="s">
        <v>333</v>
      </c>
    </row>
    <row r="98" spans="1:5" ht="19.95" customHeight="1" x14ac:dyDescent="0.3">
      <c r="A98" s="21" t="s">
        <v>334</v>
      </c>
      <c r="B98" s="23" t="s">
        <v>335</v>
      </c>
      <c r="C98" s="23" t="s">
        <v>267</v>
      </c>
      <c r="D98" s="45">
        <f>SUM(E29:P29)</f>
        <v>711</v>
      </c>
      <c r="E98" s="24" t="s">
        <v>336</v>
      </c>
    </row>
    <row r="99" spans="1:5" ht="19.95" customHeight="1" x14ac:dyDescent="0.3">
      <c r="A99" s="21" t="s">
        <v>337</v>
      </c>
      <c r="B99" s="23" t="s">
        <v>338</v>
      </c>
      <c r="C99" s="23" t="s">
        <v>267</v>
      </c>
      <c r="D99" s="45">
        <f>SUM(E31:P31)</f>
        <v>142.15000000000003</v>
      </c>
      <c r="E99" s="24" t="s">
        <v>339</v>
      </c>
    </row>
    <row r="100" spans="1:5" ht="19.95" customHeight="1" x14ac:dyDescent="0.3">
      <c r="A100" s="21" t="s">
        <v>340</v>
      </c>
      <c r="B100" s="23" t="s">
        <v>341</v>
      </c>
      <c r="C100" s="23" t="s">
        <v>316</v>
      </c>
      <c r="D100" s="45">
        <f>2 * $B$12 * F16</f>
        <v>3730</v>
      </c>
      <c r="E100" s="24" t="s">
        <v>342</v>
      </c>
    </row>
    <row r="101" spans="1:5" ht="19.95" customHeight="1" x14ac:dyDescent="0.3">
      <c r="A101" s="21" t="s">
        <v>343</v>
      </c>
      <c r="B101" s="23" t="s">
        <v>344</v>
      </c>
      <c r="C101" s="23" t="s">
        <v>222</v>
      </c>
      <c r="D101" s="44">
        <f>F16</f>
        <v>5</v>
      </c>
      <c r="E101" s="24" t="s">
        <v>345</v>
      </c>
    </row>
  </sheetData>
  <mergeCells count="16">
    <mergeCell ref="A96:P96"/>
    <mergeCell ref="A54:A57"/>
    <mergeCell ref="A19:P19"/>
    <mergeCell ref="A1:P1"/>
    <mergeCell ref="A4:D4"/>
    <mergeCell ref="E4:H4"/>
    <mergeCell ref="A42:A45"/>
    <mergeCell ref="A60:A63"/>
    <mergeCell ref="A34:P34"/>
    <mergeCell ref="A84:A87"/>
    <mergeCell ref="A36:A39"/>
    <mergeCell ref="A48:A51"/>
    <mergeCell ref="A90:A93"/>
    <mergeCell ref="A66:A69"/>
    <mergeCell ref="A78:A81"/>
    <mergeCell ref="A72:A75"/>
  </mergeCells>
  <dataValidations count="6">
    <dataValidation type="list" sqref="B9" xr:uid="{00000000-0002-0000-0500-000001000000}">
      <formula1>_xlfn._LONGTEXT("[Auto-Select / Recommended Pioneer Crop],Salicornia (Glasswort),Atriplex (Saltbush),Date Palm,Rhodes Grass,Barley,Cotton,Vetiver Grass,Sugar Beet,Triticale,Rye,Wheat,Ryegrass,Zucchini / Squash,Spinach,Cucumber,Eggplant (Aubergine),Tomato,Cabbage,Potato,Be","ll Pepper / Sweet Pepper,Onion,Watermelon,Melon / Cantaloupe,Carrot,Lettuce,Garlic,Tillage Radish (Bio-Subsoiler),Sesbania / Sunn Hemp,Alfalfa,Strawberry")</formula1>
    </dataValidation>
    <dataValidation type="list" sqref="B6" xr:uid="{00000000-0002-0000-0500-000002000000}">
      <formula1>"100% Yield (0% Loss),90% Yield (10% Loss),75% Yield (25% Loss),50% Yield (50% Loss)"</formula1>
    </dataValidation>
    <dataValidation type="list" sqref="B10" xr:uid="{00000000-0002-0000-0500-000003000000}">
      <formula1>"Central Iraq (Baghdad),Southern Iraq (Basra),Northern Iraq (Erbil),UAE (Al Ain),Jordan Valley (Ghor),Custom Station Input"</formula1>
    </dataValidation>
    <dataValidation type="list" sqref="B11" xr:uid="{00000000-0002-0000-0500-000004000000}">
      <formula1>"Plant &amp; Soil Focused: Crop Demand + Leaching Fraction (Optimal),Plant-Focused: Exact ETc Demand (Water Saving),Rainfed Only (No Irrigation),Manual Schedule Input (Custom Override)"</formula1>
    </dataValidation>
    <dataValidation type="list" sqref="B15" xr:uid="{00000000-0002-0000-0500-000005000000}">
      <formula1>"Annual Pre-Sowing Flush,Year 1 Reclamation Only,Bi-Annual Flush (Every 2 Yrs),Manual Flushing Input,No Pre-Season Flushing"</formula1>
    </dataValidation>
    <dataValidation type="list" sqref="B7 B17" xr:uid="{00000000-0002-0000-0500-000006000000}">
      <formula1>"Oct,Nov,Dec,Jan,Feb,Mar,Apr,May,Jun,Jul,Aug,Sep"</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500-000000000000}">
          <x14:formula1>
            <xm:f>'Crop Database'!$A$5:$A$34</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4"/>
  <sheetViews>
    <sheetView topLeftCell="R1" zoomScale="94" zoomScaleNormal="85" workbookViewId="0">
      <selection activeCell="U27" sqref="U27"/>
    </sheetView>
  </sheetViews>
  <sheetFormatPr defaultRowHeight="14.4" x14ac:dyDescent="0.3"/>
  <cols>
    <col min="1" max="2" width="28" customWidth="1"/>
    <col min="3" max="3" width="29" customWidth="1"/>
    <col min="4" max="4" width="21" customWidth="1"/>
    <col min="5" max="7" width="27" customWidth="1"/>
    <col min="8" max="8" width="20" customWidth="1"/>
    <col min="9" max="9" width="25" customWidth="1"/>
    <col min="10" max="10" width="27" customWidth="1"/>
    <col min="11" max="23" width="12" customWidth="1"/>
    <col min="24" max="24" width="32" customWidth="1"/>
    <col min="25" max="25" width="28" customWidth="1"/>
    <col min="26" max="27" width="27" customWidth="1"/>
  </cols>
  <sheetData>
    <row r="1" spans="1:27" ht="34.950000000000003" customHeight="1" x14ac:dyDescent="0.3">
      <c r="A1" s="65" t="s">
        <v>164</v>
      </c>
      <c r="B1" s="49"/>
      <c r="C1" s="49"/>
      <c r="D1" s="49"/>
      <c r="E1" s="49"/>
      <c r="F1" s="49"/>
      <c r="G1" s="49"/>
      <c r="H1" s="49"/>
      <c r="I1" s="49"/>
      <c r="J1" s="49"/>
      <c r="K1" s="49"/>
      <c r="L1" s="49"/>
      <c r="M1" s="49"/>
      <c r="N1" s="49"/>
      <c r="O1" s="49"/>
      <c r="P1" s="49"/>
      <c r="Q1" s="49"/>
      <c r="R1" s="49"/>
      <c r="S1" s="49"/>
      <c r="T1" s="49"/>
      <c r="U1" s="49"/>
      <c r="V1" s="49"/>
      <c r="W1" s="49"/>
    </row>
    <row r="2" spans="1:27" x14ac:dyDescent="0.3">
      <c r="A2" s="73" t="s">
        <v>165</v>
      </c>
      <c r="B2" s="49"/>
      <c r="C2" s="49"/>
      <c r="D2" s="49"/>
      <c r="E2" s="49"/>
      <c r="F2" s="49"/>
      <c r="G2" s="49"/>
      <c r="H2" s="49"/>
      <c r="I2" s="49"/>
      <c r="J2" s="49"/>
      <c r="K2" s="49"/>
      <c r="L2" s="49"/>
      <c r="M2" s="49"/>
      <c r="N2" s="49"/>
      <c r="O2" s="49"/>
      <c r="P2" s="49"/>
      <c r="Q2" s="49"/>
      <c r="R2" s="49"/>
      <c r="S2" s="49"/>
      <c r="T2" s="49"/>
      <c r="U2" s="49"/>
      <c r="V2" s="49"/>
      <c r="W2" s="49"/>
    </row>
    <row r="4" spans="1:27" ht="25.2" customHeight="1" x14ac:dyDescent="0.3">
      <c r="A4" s="1" t="s">
        <v>71</v>
      </c>
      <c r="B4" s="1" t="s">
        <v>72</v>
      </c>
      <c r="C4" s="1" t="s">
        <v>166</v>
      </c>
      <c r="D4" s="47" t="s">
        <v>167</v>
      </c>
      <c r="E4" s="1" t="s">
        <v>168</v>
      </c>
      <c r="F4" s="1" t="s">
        <v>169</v>
      </c>
      <c r="G4" s="1" t="s">
        <v>170</v>
      </c>
      <c r="H4" s="1" t="s">
        <v>171</v>
      </c>
      <c r="I4" s="1" t="s">
        <v>172</v>
      </c>
      <c r="J4" s="1" t="s">
        <v>173</v>
      </c>
      <c r="K4" s="1" t="s">
        <v>174</v>
      </c>
      <c r="L4" s="1" t="s">
        <v>144</v>
      </c>
      <c r="M4" s="1" t="s">
        <v>145</v>
      </c>
      <c r="N4" s="1" t="s">
        <v>146</v>
      </c>
      <c r="O4" s="1" t="s">
        <v>147</v>
      </c>
      <c r="P4" s="1" t="s">
        <v>148</v>
      </c>
      <c r="Q4" s="1" t="s">
        <v>149</v>
      </c>
      <c r="R4" s="1" t="s">
        <v>150</v>
      </c>
      <c r="S4" s="1" t="s">
        <v>151</v>
      </c>
      <c r="T4" s="1" t="s">
        <v>152</v>
      </c>
      <c r="U4" s="1" t="s">
        <v>153</v>
      </c>
      <c r="V4" s="1" t="s">
        <v>154</v>
      </c>
      <c r="W4" s="1" t="s">
        <v>155</v>
      </c>
      <c r="X4" s="1" t="s">
        <v>175</v>
      </c>
      <c r="Y4" s="1" t="s">
        <v>176</v>
      </c>
      <c r="Z4" s="1" t="s">
        <v>177</v>
      </c>
      <c r="AA4" s="1" t="s">
        <v>178</v>
      </c>
    </row>
    <row r="5" spans="1:27" ht="19.95" customHeight="1" x14ac:dyDescent="0.3">
      <c r="A5" s="3" t="s">
        <v>50</v>
      </c>
      <c r="B5" s="8" t="s">
        <v>179</v>
      </c>
      <c r="C5" s="4">
        <v>25</v>
      </c>
      <c r="D5" s="4">
        <v>2</v>
      </c>
      <c r="E5" s="4">
        <v>30</v>
      </c>
      <c r="F5" s="4">
        <v>37.5</v>
      </c>
      <c r="G5" s="4">
        <v>50</v>
      </c>
      <c r="H5" s="5">
        <v>75</v>
      </c>
      <c r="I5" s="9" t="s">
        <v>150</v>
      </c>
      <c r="J5" s="4">
        <v>6</v>
      </c>
      <c r="K5" s="4">
        <v>0.6</v>
      </c>
      <c r="L5" s="19">
        <v>0.4</v>
      </c>
      <c r="M5" s="19">
        <v>0.4</v>
      </c>
      <c r="N5" s="19">
        <v>0.4</v>
      </c>
      <c r="O5" s="19">
        <v>0.5</v>
      </c>
      <c r="P5" s="19">
        <v>0.8</v>
      </c>
      <c r="Q5" s="19">
        <v>1.1000000000000001</v>
      </c>
      <c r="R5" s="19">
        <v>1.1000000000000001</v>
      </c>
      <c r="S5" s="19">
        <v>0.9</v>
      </c>
      <c r="T5" s="19">
        <v>0.5</v>
      </c>
      <c r="U5" s="19">
        <v>0.4</v>
      </c>
      <c r="V5" s="19">
        <v>0.4</v>
      </c>
      <c r="W5" s="19">
        <v>0.4</v>
      </c>
      <c r="X5" s="9">
        <f t="shared" ref="X5:X34" si="0">IF(H5&gt;=35, 1, IF(H5&gt;=20, 2, IF(H5&gt;=12, 3, IF(H5&gt;=6.5, 4, 5))))</f>
        <v>1</v>
      </c>
      <c r="Y5" s="8" t="str">
        <f t="shared" ref="Y5:Y34" si="1">IF(X5=1, "Cat 1: Extreme Halophyte", IF(X5=2, "Cat 2: High Salinity Tolerant", IF(X5=3, "Cat 3: Moderately Salinity Tolerant", IF(X5=4, "Cat 4: Moderately Sensitive", "Cat 5: Sensitive"))))</f>
        <v>Cat 1: Extreme Halophyte</v>
      </c>
      <c r="Z5" s="9">
        <f t="shared" ref="Z5:Z34" si="2">IF(SUM(L5:W5)*150&lt;450, 1, IF(SUM(L5:W5)*150&lt;650, 2, IF(SUM(L5:W5)*150&lt;900, 3, IF(SUM(L5:W5)*150&lt;1300, 4, 5))))</f>
        <v>4</v>
      </c>
      <c r="AA5" s="8" t="str">
        <f t="shared" ref="AA5:AA34" si="3">IF(Z5=1, "Cat 1: Very Low Water Use", IF(Z5=2, "Cat 2: Low Water Use", IF(Z5=3, "Cat 3: Moderate Water Use", IF(Z5=4, "Cat 4: High Water Use", "Cat 5: Very High Water Use"))))</f>
        <v>Cat 4: High Water Use</v>
      </c>
    </row>
    <row r="6" spans="1:27" ht="19.95" customHeight="1" x14ac:dyDescent="0.3">
      <c r="A6" s="3" t="s">
        <v>52</v>
      </c>
      <c r="B6" s="8" t="s">
        <v>53</v>
      </c>
      <c r="C6" s="4">
        <v>18</v>
      </c>
      <c r="D6" s="4">
        <v>2.5</v>
      </c>
      <c r="E6" s="4">
        <v>22</v>
      </c>
      <c r="F6" s="4">
        <v>28</v>
      </c>
      <c r="G6" s="4">
        <v>38</v>
      </c>
      <c r="H6" s="5">
        <v>58</v>
      </c>
      <c r="I6" s="9" t="s">
        <v>144</v>
      </c>
      <c r="J6" s="4">
        <v>12</v>
      </c>
      <c r="K6" s="4">
        <v>0.7</v>
      </c>
      <c r="L6" s="19">
        <v>0.7</v>
      </c>
      <c r="M6" s="19">
        <v>0.7</v>
      </c>
      <c r="N6" s="19">
        <v>0.7</v>
      </c>
      <c r="O6" s="19">
        <v>0.7</v>
      </c>
      <c r="P6" s="19">
        <v>0.7</v>
      </c>
      <c r="Q6" s="19">
        <v>0.7</v>
      </c>
      <c r="R6" s="19">
        <v>0.7</v>
      </c>
      <c r="S6" s="19">
        <v>0.7</v>
      </c>
      <c r="T6" s="19">
        <v>0.7</v>
      </c>
      <c r="U6" s="19">
        <v>0.7</v>
      </c>
      <c r="V6" s="19">
        <v>0.7</v>
      </c>
      <c r="W6" s="19">
        <v>0.7</v>
      </c>
      <c r="X6" s="9">
        <f t="shared" si="0"/>
        <v>1</v>
      </c>
      <c r="Y6" s="8" t="str">
        <f t="shared" si="1"/>
        <v>Cat 1: Extreme Halophyte</v>
      </c>
      <c r="Z6" s="9">
        <f t="shared" si="2"/>
        <v>4</v>
      </c>
      <c r="AA6" s="8" t="str">
        <f t="shared" si="3"/>
        <v>Cat 4: High Water Use</v>
      </c>
    </row>
    <row r="7" spans="1:27" ht="19.95" customHeight="1" x14ac:dyDescent="0.3">
      <c r="A7" s="3" t="s">
        <v>54</v>
      </c>
      <c r="B7" s="8" t="s">
        <v>180</v>
      </c>
      <c r="C7" s="4">
        <v>12</v>
      </c>
      <c r="D7" s="4">
        <v>3.6</v>
      </c>
      <c r="E7" s="4">
        <v>14.8</v>
      </c>
      <c r="F7" s="4">
        <v>18.899999999999999</v>
      </c>
      <c r="G7" s="4">
        <v>25.9</v>
      </c>
      <c r="H7" s="5">
        <v>39.799999999999997</v>
      </c>
      <c r="I7" s="9" t="s">
        <v>144</v>
      </c>
      <c r="J7" s="4">
        <v>12</v>
      </c>
      <c r="K7" s="4">
        <v>0.9</v>
      </c>
      <c r="L7" s="19">
        <v>0.9</v>
      </c>
      <c r="M7" s="19">
        <v>0.9</v>
      </c>
      <c r="N7" s="19">
        <v>0.9</v>
      </c>
      <c r="O7" s="19">
        <v>0.9</v>
      </c>
      <c r="P7" s="19">
        <v>0.9</v>
      </c>
      <c r="Q7" s="19">
        <v>0.9</v>
      </c>
      <c r="R7" s="19">
        <v>0.9</v>
      </c>
      <c r="S7" s="19">
        <v>0.9</v>
      </c>
      <c r="T7" s="19">
        <v>0.9</v>
      </c>
      <c r="U7" s="19">
        <v>0.9</v>
      </c>
      <c r="V7" s="19">
        <v>0.9</v>
      </c>
      <c r="W7" s="19">
        <v>0.9</v>
      </c>
      <c r="X7" s="9">
        <f t="shared" si="0"/>
        <v>1</v>
      </c>
      <c r="Y7" s="8" t="str">
        <f t="shared" si="1"/>
        <v>Cat 1: Extreme Halophyte</v>
      </c>
      <c r="Z7" s="9">
        <f t="shared" si="2"/>
        <v>5</v>
      </c>
      <c r="AA7" s="8" t="str">
        <f t="shared" si="3"/>
        <v>Cat 5: Very High Water Use</v>
      </c>
    </row>
    <row r="8" spans="1:27" ht="19.95" customHeight="1" x14ac:dyDescent="0.3">
      <c r="A8" s="3" t="s">
        <v>57</v>
      </c>
      <c r="B8" s="8" t="s">
        <v>181</v>
      </c>
      <c r="C8" s="4">
        <v>8.5</v>
      </c>
      <c r="D8" s="4">
        <v>4.2</v>
      </c>
      <c r="E8" s="4">
        <v>10.9</v>
      </c>
      <c r="F8" s="4">
        <v>14.5</v>
      </c>
      <c r="G8" s="4">
        <v>20.399999999999999</v>
      </c>
      <c r="H8" s="5">
        <v>32.299999999999997</v>
      </c>
      <c r="I8" s="9" t="s">
        <v>149</v>
      </c>
      <c r="J8" s="4">
        <v>8</v>
      </c>
      <c r="K8" s="4">
        <v>0.8</v>
      </c>
      <c r="L8" s="19">
        <v>0.5</v>
      </c>
      <c r="M8" s="19">
        <v>0.5</v>
      </c>
      <c r="N8" s="19">
        <v>0.6</v>
      </c>
      <c r="O8" s="19">
        <v>0.9</v>
      </c>
      <c r="P8" s="19">
        <v>1.05</v>
      </c>
      <c r="Q8" s="19">
        <v>1.05</v>
      </c>
      <c r="R8" s="19">
        <v>1.05</v>
      </c>
      <c r="S8" s="19">
        <v>1</v>
      </c>
      <c r="T8" s="19">
        <v>0.8</v>
      </c>
      <c r="U8" s="19">
        <v>0.6</v>
      </c>
      <c r="V8" s="19">
        <v>0.5</v>
      </c>
      <c r="W8" s="19">
        <v>0.5</v>
      </c>
      <c r="X8" s="9">
        <f t="shared" si="0"/>
        <v>2</v>
      </c>
      <c r="Y8" s="8" t="str">
        <f t="shared" si="1"/>
        <v>Cat 2: High Salinity Tolerant</v>
      </c>
      <c r="Z8" s="9">
        <f t="shared" si="2"/>
        <v>5</v>
      </c>
      <c r="AA8" s="8" t="str">
        <f t="shared" si="3"/>
        <v>Cat 5: Very High Water Use</v>
      </c>
    </row>
    <row r="9" spans="1:27" ht="19.95" customHeight="1" x14ac:dyDescent="0.3">
      <c r="A9" s="3" t="s">
        <v>59</v>
      </c>
      <c r="B9" s="8" t="s">
        <v>182</v>
      </c>
      <c r="C9" s="4">
        <v>8</v>
      </c>
      <c r="D9" s="4">
        <v>5</v>
      </c>
      <c r="E9" s="4">
        <v>10</v>
      </c>
      <c r="F9" s="4">
        <v>13</v>
      </c>
      <c r="G9" s="4">
        <v>18</v>
      </c>
      <c r="H9" s="5">
        <v>28</v>
      </c>
      <c r="I9" s="9" t="s">
        <v>144</v>
      </c>
      <c r="J9" s="4">
        <v>7</v>
      </c>
      <c r="K9" s="4">
        <v>0.7</v>
      </c>
      <c r="L9" s="19">
        <v>0.3</v>
      </c>
      <c r="M9" s="19">
        <v>0.7</v>
      </c>
      <c r="N9" s="19">
        <v>1.1499999999999999</v>
      </c>
      <c r="O9" s="19">
        <v>1.1499999999999999</v>
      </c>
      <c r="P9" s="19">
        <v>0.75</v>
      </c>
      <c r="Q9" s="19">
        <v>0.3</v>
      </c>
      <c r="R9" s="19">
        <v>0</v>
      </c>
      <c r="S9" s="19">
        <v>0</v>
      </c>
      <c r="T9" s="19">
        <v>0</v>
      </c>
      <c r="U9" s="19">
        <v>0</v>
      </c>
      <c r="V9" s="19">
        <v>0</v>
      </c>
      <c r="W9" s="19">
        <v>0</v>
      </c>
      <c r="X9" s="9">
        <f t="shared" si="0"/>
        <v>2</v>
      </c>
      <c r="Y9" s="8" t="str">
        <f t="shared" si="1"/>
        <v>Cat 2: High Salinity Tolerant</v>
      </c>
      <c r="Z9" s="9">
        <f t="shared" si="2"/>
        <v>3</v>
      </c>
      <c r="AA9" s="8" t="str">
        <f t="shared" si="3"/>
        <v>Cat 3: Moderate Water Use</v>
      </c>
    </row>
    <row r="10" spans="1:27" ht="19.95" customHeight="1" x14ac:dyDescent="0.3">
      <c r="A10" s="3" t="s">
        <v>183</v>
      </c>
      <c r="B10" s="8" t="s">
        <v>184</v>
      </c>
      <c r="C10" s="4">
        <v>7.7</v>
      </c>
      <c r="D10" s="4">
        <v>5.2</v>
      </c>
      <c r="E10" s="4">
        <v>9.6</v>
      </c>
      <c r="F10" s="4">
        <v>12.5</v>
      </c>
      <c r="G10" s="4">
        <v>17.3</v>
      </c>
      <c r="H10" s="5">
        <v>26.9</v>
      </c>
      <c r="I10" s="9" t="s">
        <v>150</v>
      </c>
      <c r="J10" s="4">
        <v>6</v>
      </c>
      <c r="K10" s="4">
        <v>0.8</v>
      </c>
      <c r="L10" s="19">
        <v>0</v>
      </c>
      <c r="M10" s="19">
        <v>0</v>
      </c>
      <c r="N10" s="19">
        <v>0</v>
      </c>
      <c r="O10" s="19">
        <v>0.35</v>
      </c>
      <c r="P10" s="19">
        <v>0.75</v>
      </c>
      <c r="Q10" s="19">
        <v>1.1499999999999999</v>
      </c>
      <c r="R10" s="19">
        <v>1.2</v>
      </c>
      <c r="S10" s="19">
        <v>1.1000000000000001</v>
      </c>
      <c r="T10" s="19">
        <v>0.6</v>
      </c>
      <c r="U10" s="19">
        <v>0</v>
      </c>
      <c r="V10" s="19">
        <v>0</v>
      </c>
      <c r="W10" s="19">
        <v>0</v>
      </c>
      <c r="X10" s="9">
        <f t="shared" si="0"/>
        <v>2</v>
      </c>
      <c r="Y10" s="8" t="str">
        <f t="shared" si="1"/>
        <v>Cat 2: High Salinity Tolerant</v>
      </c>
      <c r="Z10" s="9">
        <f t="shared" si="2"/>
        <v>3</v>
      </c>
      <c r="AA10" s="8" t="str">
        <f t="shared" si="3"/>
        <v>Cat 3: Moderate Water Use</v>
      </c>
    </row>
    <row r="11" spans="1:27" ht="19.95" customHeight="1" x14ac:dyDescent="0.3">
      <c r="A11" s="3" t="s">
        <v>64</v>
      </c>
      <c r="B11" s="8" t="s">
        <v>65</v>
      </c>
      <c r="C11" s="4">
        <v>8</v>
      </c>
      <c r="D11" s="4">
        <v>4.5</v>
      </c>
      <c r="E11" s="4">
        <v>10.199999999999999</v>
      </c>
      <c r="F11" s="4">
        <v>13.5</v>
      </c>
      <c r="G11" s="4">
        <v>19.100000000000001</v>
      </c>
      <c r="H11" s="5">
        <v>26</v>
      </c>
      <c r="I11" s="9" t="s">
        <v>144</v>
      </c>
      <c r="J11" s="4">
        <v>12</v>
      </c>
      <c r="K11" s="4">
        <v>0.8</v>
      </c>
      <c r="L11" s="19">
        <v>0.8</v>
      </c>
      <c r="M11" s="19">
        <v>0.8</v>
      </c>
      <c r="N11" s="19">
        <v>0.8</v>
      </c>
      <c r="O11" s="19">
        <v>0.8</v>
      </c>
      <c r="P11" s="19">
        <v>0.8</v>
      </c>
      <c r="Q11" s="19">
        <v>0.8</v>
      </c>
      <c r="R11" s="19">
        <v>0.8</v>
      </c>
      <c r="S11" s="19">
        <v>0.8</v>
      </c>
      <c r="T11" s="19">
        <v>0.8</v>
      </c>
      <c r="U11" s="19">
        <v>0.8</v>
      </c>
      <c r="V11" s="19">
        <v>0.8</v>
      </c>
      <c r="W11" s="19">
        <v>0.8</v>
      </c>
      <c r="X11" s="9">
        <f t="shared" si="0"/>
        <v>2</v>
      </c>
      <c r="Y11" s="8" t="str">
        <f t="shared" si="1"/>
        <v>Cat 2: High Salinity Tolerant</v>
      </c>
      <c r="Z11" s="9">
        <f t="shared" si="2"/>
        <v>5</v>
      </c>
      <c r="AA11" s="8" t="str">
        <f t="shared" si="3"/>
        <v>Cat 5: Very High Water Use</v>
      </c>
    </row>
    <row r="12" spans="1:27" ht="19.95" customHeight="1" x14ac:dyDescent="0.3">
      <c r="A12" s="3" t="s">
        <v>185</v>
      </c>
      <c r="B12" s="8" t="s">
        <v>186</v>
      </c>
      <c r="C12" s="4">
        <v>7</v>
      </c>
      <c r="D12" s="4">
        <v>5.9</v>
      </c>
      <c r="E12" s="4">
        <v>8.6999999999999993</v>
      </c>
      <c r="F12" s="4">
        <v>11.2</v>
      </c>
      <c r="G12" s="4">
        <v>15.4</v>
      </c>
      <c r="H12" s="5">
        <v>24</v>
      </c>
      <c r="I12" s="9" t="s">
        <v>144</v>
      </c>
      <c r="J12" s="4">
        <v>8</v>
      </c>
      <c r="K12" s="4">
        <v>0.7</v>
      </c>
      <c r="L12" s="19">
        <v>0.35</v>
      </c>
      <c r="M12" s="19">
        <v>0.7</v>
      </c>
      <c r="N12" s="19">
        <v>1</v>
      </c>
      <c r="O12" s="19">
        <v>1.1499999999999999</v>
      </c>
      <c r="P12" s="19">
        <v>1.1499999999999999</v>
      </c>
      <c r="Q12" s="19">
        <v>0.9</v>
      </c>
      <c r="R12" s="19">
        <v>0.6</v>
      </c>
      <c r="S12" s="19">
        <v>0</v>
      </c>
      <c r="T12" s="19">
        <v>0</v>
      </c>
      <c r="U12" s="19">
        <v>0</v>
      </c>
      <c r="V12" s="19">
        <v>0</v>
      </c>
      <c r="W12" s="19">
        <v>0</v>
      </c>
      <c r="X12" s="9">
        <f t="shared" si="0"/>
        <v>2</v>
      </c>
      <c r="Y12" s="8" t="str">
        <f t="shared" si="1"/>
        <v>Cat 2: High Salinity Tolerant</v>
      </c>
      <c r="Z12" s="9">
        <f t="shared" si="2"/>
        <v>3</v>
      </c>
      <c r="AA12" s="8" t="str">
        <f t="shared" si="3"/>
        <v>Cat 3: Moderate Water Use</v>
      </c>
    </row>
    <row r="13" spans="1:27" ht="19.95" customHeight="1" x14ac:dyDescent="0.3">
      <c r="A13" s="3" t="s">
        <v>187</v>
      </c>
      <c r="B13" s="8" t="s">
        <v>188</v>
      </c>
      <c r="C13" s="4">
        <v>7</v>
      </c>
      <c r="D13" s="4">
        <v>6</v>
      </c>
      <c r="E13" s="4">
        <v>8.6999999999999993</v>
      </c>
      <c r="F13" s="4">
        <v>11.2</v>
      </c>
      <c r="G13" s="4">
        <v>15.3</v>
      </c>
      <c r="H13" s="5">
        <v>22</v>
      </c>
      <c r="I13" s="9" t="s">
        <v>144</v>
      </c>
      <c r="J13" s="4">
        <v>7</v>
      </c>
      <c r="K13" s="4">
        <v>0.7</v>
      </c>
      <c r="L13" s="19">
        <v>0.3</v>
      </c>
      <c r="M13" s="19">
        <v>0.7</v>
      </c>
      <c r="N13" s="19">
        <v>1.1499999999999999</v>
      </c>
      <c r="O13" s="19">
        <v>1.1499999999999999</v>
      </c>
      <c r="P13" s="19">
        <v>0.75</v>
      </c>
      <c r="Q13" s="19">
        <v>0.3</v>
      </c>
      <c r="R13" s="19">
        <v>0</v>
      </c>
      <c r="S13" s="19">
        <v>0</v>
      </c>
      <c r="T13" s="19">
        <v>0</v>
      </c>
      <c r="U13" s="19">
        <v>0</v>
      </c>
      <c r="V13" s="19">
        <v>0</v>
      </c>
      <c r="W13" s="19">
        <v>0</v>
      </c>
      <c r="X13" s="9">
        <f t="shared" si="0"/>
        <v>2</v>
      </c>
      <c r="Y13" s="8" t="str">
        <f t="shared" si="1"/>
        <v>Cat 2: High Salinity Tolerant</v>
      </c>
      <c r="Z13" s="9">
        <f t="shared" si="2"/>
        <v>3</v>
      </c>
      <c r="AA13" s="8" t="str">
        <f t="shared" si="3"/>
        <v>Cat 3: Moderate Water Use</v>
      </c>
    </row>
    <row r="14" spans="1:27" ht="19.95" customHeight="1" x14ac:dyDescent="0.3">
      <c r="A14" s="3" t="s">
        <v>61</v>
      </c>
      <c r="B14" s="8" t="s">
        <v>189</v>
      </c>
      <c r="C14" s="4">
        <v>11.4</v>
      </c>
      <c r="D14" s="4">
        <v>10.8</v>
      </c>
      <c r="E14" s="4">
        <v>12.3</v>
      </c>
      <c r="F14" s="4">
        <v>13.7</v>
      </c>
      <c r="G14" s="4">
        <v>16</v>
      </c>
      <c r="H14" s="5">
        <v>20.7</v>
      </c>
      <c r="I14" s="9" t="s">
        <v>144</v>
      </c>
      <c r="J14" s="4">
        <v>7</v>
      </c>
      <c r="K14" s="4">
        <v>0.7</v>
      </c>
      <c r="L14" s="19">
        <v>0.3</v>
      </c>
      <c r="M14" s="19">
        <v>0.7</v>
      </c>
      <c r="N14" s="19">
        <v>1.1000000000000001</v>
      </c>
      <c r="O14" s="19">
        <v>1.1000000000000001</v>
      </c>
      <c r="P14" s="19">
        <v>0.7</v>
      </c>
      <c r="Q14" s="19">
        <v>0.3</v>
      </c>
      <c r="R14" s="19">
        <v>0</v>
      </c>
      <c r="S14" s="19">
        <v>0</v>
      </c>
      <c r="T14" s="19">
        <v>0</v>
      </c>
      <c r="U14" s="19">
        <v>0</v>
      </c>
      <c r="V14" s="19">
        <v>0</v>
      </c>
      <c r="W14" s="19">
        <v>0</v>
      </c>
      <c r="X14" s="9">
        <f t="shared" si="0"/>
        <v>2</v>
      </c>
      <c r="Y14" s="8" t="str">
        <f t="shared" si="1"/>
        <v>Cat 2: High Salinity Tolerant</v>
      </c>
      <c r="Z14" s="9">
        <f t="shared" si="2"/>
        <v>2</v>
      </c>
      <c r="AA14" s="8" t="str">
        <f t="shared" si="3"/>
        <v>Cat 2: Low Water Use</v>
      </c>
    </row>
    <row r="15" spans="1:27" ht="19.95" customHeight="1" x14ac:dyDescent="0.3">
      <c r="A15" s="3" t="s">
        <v>190</v>
      </c>
      <c r="B15" s="8" t="s">
        <v>189</v>
      </c>
      <c r="C15" s="4">
        <v>6</v>
      </c>
      <c r="D15" s="4">
        <v>7.1</v>
      </c>
      <c r="E15" s="4">
        <v>7.4</v>
      </c>
      <c r="F15" s="4">
        <v>9.5</v>
      </c>
      <c r="G15" s="4">
        <v>13</v>
      </c>
      <c r="H15" s="5">
        <v>20.100000000000001</v>
      </c>
      <c r="I15" s="9" t="s">
        <v>144</v>
      </c>
      <c r="J15" s="4">
        <v>7</v>
      </c>
      <c r="K15" s="4">
        <v>0.7</v>
      </c>
      <c r="L15" s="19">
        <v>0.3</v>
      </c>
      <c r="M15" s="19">
        <v>0.7</v>
      </c>
      <c r="N15" s="19">
        <v>1.1499999999999999</v>
      </c>
      <c r="O15" s="19">
        <v>1.1499999999999999</v>
      </c>
      <c r="P15" s="19">
        <v>0.8</v>
      </c>
      <c r="Q15" s="19">
        <v>0.3</v>
      </c>
      <c r="R15" s="19">
        <v>0</v>
      </c>
      <c r="S15" s="19">
        <v>0</v>
      </c>
      <c r="T15" s="19">
        <v>0</v>
      </c>
      <c r="U15" s="19">
        <v>0</v>
      </c>
      <c r="V15" s="19">
        <v>0</v>
      </c>
      <c r="W15" s="19">
        <v>0</v>
      </c>
      <c r="X15" s="9">
        <f t="shared" si="0"/>
        <v>2</v>
      </c>
      <c r="Y15" s="8" t="str">
        <f t="shared" si="1"/>
        <v>Cat 2: High Salinity Tolerant</v>
      </c>
      <c r="Z15" s="9">
        <f t="shared" si="2"/>
        <v>3</v>
      </c>
      <c r="AA15" s="8" t="str">
        <f t="shared" si="3"/>
        <v>Cat 3: Moderate Water Use</v>
      </c>
    </row>
    <row r="16" spans="1:27" ht="19.95" customHeight="1" x14ac:dyDescent="0.3">
      <c r="A16" s="3" t="s">
        <v>191</v>
      </c>
      <c r="B16" s="8" t="s">
        <v>192</v>
      </c>
      <c r="C16" s="4">
        <v>5.6</v>
      </c>
      <c r="D16" s="4">
        <v>7.6</v>
      </c>
      <c r="E16" s="4">
        <v>6.9</v>
      </c>
      <c r="F16" s="4">
        <v>8.1999999999999993</v>
      </c>
      <c r="G16" s="4">
        <v>10.8</v>
      </c>
      <c r="H16" s="5">
        <v>18.8</v>
      </c>
      <c r="I16" s="9" t="s">
        <v>144</v>
      </c>
      <c r="J16" s="4">
        <v>7</v>
      </c>
      <c r="K16" s="4">
        <v>0.7</v>
      </c>
      <c r="L16" s="19">
        <v>0.4</v>
      </c>
      <c r="M16" s="19">
        <v>0.8</v>
      </c>
      <c r="N16" s="19">
        <v>1</v>
      </c>
      <c r="O16" s="19">
        <v>1.05</v>
      </c>
      <c r="P16" s="19">
        <v>1</v>
      </c>
      <c r="Q16" s="19">
        <v>0.8</v>
      </c>
      <c r="R16" s="19">
        <v>0.4</v>
      </c>
      <c r="S16" s="19">
        <v>0</v>
      </c>
      <c r="T16" s="19">
        <v>0</v>
      </c>
      <c r="U16" s="19">
        <v>0</v>
      </c>
      <c r="V16" s="19">
        <v>0</v>
      </c>
      <c r="W16" s="19">
        <v>0</v>
      </c>
      <c r="X16" s="9">
        <f t="shared" si="0"/>
        <v>3</v>
      </c>
      <c r="Y16" s="8" t="str">
        <f t="shared" si="1"/>
        <v>Cat 3: Moderately Salinity Tolerant</v>
      </c>
      <c r="Z16" s="9">
        <f t="shared" si="2"/>
        <v>3</v>
      </c>
      <c r="AA16" s="8" t="str">
        <f t="shared" si="3"/>
        <v>Cat 3: Moderate Water Use</v>
      </c>
    </row>
    <row r="17" spans="1:27" ht="19.95" customHeight="1" x14ac:dyDescent="0.3">
      <c r="A17" s="3" t="s">
        <v>193</v>
      </c>
      <c r="B17" s="8" t="s">
        <v>194</v>
      </c>
      <c r="C17" s="4">
        <v>4.7</v>
      </c>
      <c r="D17" s="4">
        <v>9.6999999999999993</v>
      </c>
      <c r="E17" s="4">
        <v>5.2</v>
      </c>
      <c r="F17" s="4">
        <v>6</v>
      </c>
      <c r="G17" s="4">
        <v>7.3</v>
      </c>
      <c r="H17" s="5">
        <v>10</v>
      </c>
      <c r="I17" s="9" t="s">
        <v>150</v>
      </c>
      <c r="J17" s="4">
        <v>4</v>
      </c>
      <c r="K17" s="4">
        <v>0.7</v>
      </c>
      <c r="L17" s="19">
        <v>0</v>
      </c>
      <c r="M17" s="19">
        <v>0</v>
      </c>
      <c r="N17" s="19">
        <v>0</v>
      </c>
      <c r="O17" s="19">
        <v>0.4</v>
      </c>
      <c r="P17" s="19">
        <v>0.8</v>
      </c>
      <c r="Q17" s="19">
        <v>1</v>
      </c>
      <c r="R17" s="19">
        <v>0.75</v>
      </c>
      <c r="S17" s="19">
        <v>0</v>
      </c>
      <c r="T17" s="19">
        <v>0</v>
      </c>
      <c r="U17" s="19">
        <v>0</v>
      </c>
      <c r="V17" s="19">
        <v>0</v>
      </c>
      <c r="W17" s="19">
        <v>0</v>
      </c>
      <c r="X17" s="9">
        <f t="shared" si="0"/>
        <v>4</v>
      </c>
      <c r="Y17" s="8" t="str">
        <f t="shared" si="1"/>
        <v>Cat 4: Moderately Sensitive</v>
      </c>
      <c r="Z17" s="9">
        <f t="shared" si="2"/>
        <v>1</v>
      </c>
      <c r="AA17" s="8" t="str">
        <f t="shared" si="3"/>
        <v>Cat 1: Very Low Water Use</v>
      </c>
    </row>
    <row r="18" spans="1:27" ht="19.95" customHeight="1" x14ac:dyDescent="0.3">
      <c r="A18" s="3" t="s">
        <v>195</v>
      </c>
      <c r="B18" s="8" t="s">
        <v>196</v>
      </c>
      <c r="C18" s="4">
        <v>3.2</v>
      </c>
      <c r="D18" s="4">
        <v>7.6</v>
      </c>
      <c r="E18" s="4">
        <v>3.9</v>
      </c>
      <c r="F18" s="4">
        <v>4.9000000000000004</v>
      </c>
      <c r="G18" s="4">
        <v>6.5</v>
      </c>
      <c r="H18" s="5">
        <v>9.8000000000000007</v>
      </c>
      <c r="I18" s="9" t="s">
        <v>144</v>
      </c>
      <c r="J18" s="4">
        <v>3</v>
      </c>
      <c r="K18" s="4">
        <v>0.6</v>
      </c>
      <c r="L18" s="19">
        <v>0.4</v>
      </c>
      <c r="M18" s="19">
        <v>0.8</v>
      </c>
      <c r="N18" s="19">
        <v>0.95</v>
      </c>
      <c r="O18" s="19">
        <v>0</v>
      </c>
      <c r="P18" s="19">
        <v>0</v>
      </c>
      <c r="Q18" s="19">
        <v>0</v>
      </c>
      <c r="R18" s="19">
        <v>0</v>
      </c>
      <c r="S18" s="19">
        <v>0</v>
      </c>
      <c r="T18" s="19">
        <v>0</v>
      </c>
      <c r="U18" s="19">
        <v>0</v>
      </c>
      <c r="V18" s="19">
        <v>0</v>
      </c>
      <c r="W18" s="19">
        <v>0</v>
      </c>
      <c r="X18" s="9">
        <f t="shared" si="0"/>
        <v>4</v>
      </c>
      <c r="Y18" s="8" t="str">
        <f t="shared" si="1"/>
        <v>Cat 4: Moderately Sensitive</v>
      </c>
      <c r="Z18" s="9">
        <f t="shared" si="2"/>
        <v>1</v>
      </c>
      <c r="AA18" s="8" t="str">
        <f t="shared" si="3"/>
        <v>Cat 1: Very Low Water Use</v>
      </c>
    </row>
    <row r="19" spans="1:27" ht="19.95" customHeight="1" x14ac:dyDescent="0.3">
      <c r="A19" s="3" t="s">
        <v>197</v>
      </c>
      <c r="B19" s="8" t="s">
        <v>194</v>
      </c>
      <c r="C19" s="4">
        <v>2.5</v>
      </c>
      <c r="D19" s="4">
        <v>13</v>
      </c>
      <c r="E19" s="4">
        <v>2.9</v>
      </c>
      <c r="F19" s="4">
        <v>3.5</v>
      </c>
      <c r="G19" s="4">
        <v>4.4000000000000004</v>
      </c>
      <c r="H19" s="5">
        <v>6.3</v>
      </c>
      <c r="I19" s="9" t="s">
        <v>150</v>
      </c>
      <c r="J19" s="4">
        <v>4</v>
      </c>
      <c r="K19" s="4">
        <v>0.7</v>
      </c>
      <c r="L19" s="19">
        <v>0</v>
      </c>
      <c r="M19" s="19">
        <v>0</v>
      </c>
      <c r="N19" s="19">
        <v>0</v>
      </c>
      <c r="O19" s="19">
        <v>0.4</v>
      </c>
      <c r="P19" s="19">
        <v>0.8</v>
      </c>
      <c r="Q19" s="19">
        <v>1</v>
      </c>
      <c r="R19" s="19">
        <v>0.75</v>
      </c>
      <c r="S19" s="19">
        <v>0</v>
      </c>
      <c r="T19" s="19">
        <v>0</v>
      </c>
      <c r="U19" s="19">
        <v>0</v>
      </c>
      <c r="V19" s="19">
        <v>0</v>
      </c>
      <c r="W19" s="19">
        <v>0</v>
      </c>
      <c r="X19" s="9">
        <f t="shared" si="0"/>
        <v>5</v>
      </c>
      <c r="Y19" s="8" t="str">
        <f t="shared" si="1"/>
        <v>Cat 5: Sensitive</v>
      </c>
      <c r="Z19" s="9">
        <f t="shared" si="2"/>
        <v>1</v>
      </c>
      <c r="AA19" s="8" t="str">
        <f t="shared" si="3"/>
        <v>Cat 1: Very Low Water Use</v>
      </c>
    </row>
    <row r="20" spans="1:27" ht="19.95" customHeight="1" x14ac:dyDescent="0.3">
      <c r="A20" s="3" t="s">
        <v>198</v>
      </c>
      <c r="B20" s="8" t="s">
        <v>194</v>
      </c>
      <c r="C20" s="4">
        <v>1.1000000000000001</v>
      </c>
      <c r="D20" s="4">
        <v>6.9</v>
      </c>
      <c r="E20" s="4">
        <v>2.5</v>
      </c>
      <c r="F20" s="4">
        <v>4.7</v>
      </c>
      <c r="G20" s="4">
        <v>8.3000000000000007</v>
      </c>
      <c r="H20" s="5">
        <v>15.5</v>
      </c>
      <c r="I20" s="9" t="s">
        <v>150</v>
      </c>
      <c r="J20" s="4">
        <v>5</v>
      </c>
      <c r="K20" s="4">
        <v>0.7</v>
      </c>
      <c r="L20" s="19">
        <v>0</v>
      </c>
      <c r="M20" s="19">
        <v>0</v>
      </c>
      <c r="N20" s="19">
        <v>0</v>
      </c>
      <c r="O20" s="19">
        <v>0.4</v>
      </c>
      <c r="P20" s="19">
        <v>0.8</v>
      </c>
      <c r="Q20" s="19">
        <v>1.05</v>
      </c>
      <c r="R20" s="19">
        <v>0.9</v>
      </c>
      <c r="S20" s="19">
        <v>0</v>
      </c>
      <c r="T20" s="19">
        <v>0</v>
      </c>
      <c r="U20" s="19">
        <v>0</v>
      </c>
      <c r="V20" s="19">
        <v>0</v>
      </c>
      <c r="W20" s="19">
        <v>0</v>
      </c>
      <c r="X20" s="9">
        <f t="shared" si="0"/>
        <v>3</v>
      </c>
      <c r="Y20" s="8" t="str">
        <f t="shared" si="1"/>
        <v>Cat 3: Moderately Salinity Tolerant</v>
      </c>
      <c r="Z20" s="9">
        <f t="shared" si="2"/>
        <v>2</v>
      </c>
      <c r="AA20" s="8" t="str">
        <f t="shared" si="3"/>
        <v>Cat 2: Low Water Use</v>
      </c>
    </row>
    <row r="21" spans="1:27" ht="19.95" customHeight="1" x14ac:dyDescent="0.3">
      <c r="A21" s="3" t="s">
        <v>199</v>
      </c>
      <c r="B21" s="8" t="s">
        <v>194</v>
      </c>
      <c r="C21" s="4">
        <v>2.5</v>
      </c>
      <c r="D21" s="4">
        <v>9.9</v>
      </c>
      <c r="E21" s="4">
        <v>3.5</v>
      </c>
      <c r="F21" s="4">
        <v>5</v>
      </c>
      <c r="G21" s="4">
        <v>7.6</v>
      </c>
      <c r="H21" s="5">
        <v>12.6</v>
      </c>
      <c r="I21" s="9" t="s">
        <v>144</v>
      </c>
      <c r="J21" s="4">
        <v>5</v>
      </c>
      <c r="K21" s="4">
        <v>0.7</v>
      </c>
      <c r="L21" s="19">
        <v>0.45</v>
      </c>
      <c r="M21" s="19">
        <v>0.75</v>
      </c>
      <c r="N21" s="19">
        <v>1.1499999999999999</v>
      </c>
      <c r="O21" s="19">
        <v>1.1499999999999999</v>
      </c>
      <c r="P21" s="19">
        <v>0.8</v>
      </c>
      <c r="Q21" s="19">
        <v>0</v>
      </c>
      <c r="R21" s="19">
        <v>0</v>
      </c>
      <c r="S21" s="19">
        <v>0</v>
      </c>
      <c r="T21" s="19">
        <v>0</v>
      </c>
      <c r="U21" s="19">
        <v>0</v>
      </c>
      <c r="V21" s="19">
        <v>0</v>
      </c>
      <c r="W21" s="19">
        <v>0</v>
      </c>
      <c r="X21" s="9">
        <f t="shared" si="0"/>
        <v>3</v>
      </c>
      <c r="Y21" s="8" t="str">
        <f t="shared" si="1"/>
        <v>Cat 3: Moderately Salinity Tolerant</v>
      </c>
      <c r="Z21" s="9">
        <f t="shared" si="2"/>
        <v>2</v>
      </c>
      <c r="AA21" s="8" t="str">
        <f t="shared" si="3"/>
        <v>Cat 2: Low Water Use</v>
      </c>
    </row>
    <row r="22" spans="1:27" ht="19.95" customHeight="1" x14ac:dyDescent="0.3">
      <c r="A22" s="3" t="s">
        <v>200</v>
      </c>
      <c r="B22" s="8" t="s">
        <v>194</v>
      </c>
      <c r="C22" s="4">
        <v>1.8</v>
      </c>
      <c r="D22" s="4">
        <v>9.6999999999999993</v>
      </c>
      <c r="E22" s="4">
        <v>2.2999999999999998</v>
      </c>
      <c r="F22" s="4">
        <v>3.1</v>
      </c>
      <c r="G22" s="4">
        <v>4.4000000000000004</v>
      </c>
      <c r="H22" s="5">
        <v>7</v>
      </c>
      <c r="I22" s="9" t="s">
        <v>144</v>
      </c>
      <c r="J22" s="4">
        <v>4</v>
      </c>
      <c r="K22" s="4">
        <v>0.65</v>
      </c>
      <c r="L22" s="19">
        <v>0.4</v>
      </c>
      <c r="M22" s="19">
        <v>0.7</v>
      </c>
      <c r="N22" s="19">
        <v>0.95</v>
      </c>
      <c r="O22" s="19">
        <v>0.8</v>
      </c>
      <c r="P22" s="19">
        <v>0</v>
      </c>
      <c r="Q22" s="19">
        <v>0</v>
      </c>
      <c r="R22" s="19">
        <v>0</v>
      </c>
      <c r="S22" s="19">
        <v>0</v>
      </c>
      <c r="T22" s="19">
        <v>0</v>
      </c>
      <c r="U22" s="19">
        <v>0</v>
      </c>
      <c r="V22" s="19">
        <v>0</v>
      </c>
      <c r="W22" s="19">
        <v>0</v>
      </c>
      <c r="X22" s="9">
        <f t="shared" si="0"/>
        <v>4</v>
      </c>
      <c r="Y22" s="8" t="str">
        <f t="shared" si="1"/>
        <v>Cat 4: Moderately Sensitive</v>
      </c>
      <c r="Z22" s="9">
        <f t="shared" si="2"/>
        <v>1</v>
      </c>
      <c r="AA22" s="8" t="str">
        <f t="shared" si="3"/>
        <v>Cat 1: Very Low Water Use</v>
      </c>
    </row>
    <row r="23" spans="1:27" ht="19.95" customHeight="1" x14ac:dyDescent="0.3">
      <c r="A23" s="3" t="s">
        <v>201</v>
      </c>
      <c r="B23" s="8" t="s">
        <v>202</v>
      </c>
      <c r="C23" s="4">
        <v>1.7</v>
      </c>
      <c r="D23" s="4">
        <v>12</v>
      </c>
      <c r="E23" s="4">
        <v>2.1</v>
      </c>
      <c r="F23" s="4">
        <v>2.7</v>
      </c>
      <c r="G23" s="4">
        <v>3.8</v>
      </c>
      <c r="H23" s="5">
        <v>5.9</v>
      </c>
      <c r="I23" s="9" t="s">
        <v>144</v>
      </c>
      <c r="J23" s="4">
        <v>4</v>
      </c>
      <c r="K23" s="4">
        <v>0.7</v>
      </c>
      <c r="L23" s="19">
        <v>0.4</v>
      </c>
      <c r="M23" s="19">
        <v>0.7</v>
      </c>
      <c r="N23" s="19">
        <v>1.05</v>
      </c>
      <c r="O23" s="19">
        <v>0.85</v>
      </c>
      <c r="P23" s="19">
        <v>0</v>
      </c>
      <c r="Q23" s="19">
        <v>0</v>
      </c>
      <c r="R23" s="19">
        <v>0</v>
      </c>
      <c r="S23" s="19">
        <v>0</v>
      </c>
      <c r="T23" s="19">
        <v>0</v>
      </c>
      <c r="U23" s="19">
        <v>0</v>
      </c>
      <c r="V23" s="19">
        <v>0</v>
      </c>
      <c r="W23" s="19">
        <v>0</v>
      </c>
      <c r="X23" s="9">
        <f t="shared" si="0"/>
        <v>5</v>
      </c>
      <c r="Y23" s="8" t="str">
        <f t="shared" si="1"/>
        <v>Cat 5: Sensitive</v>
      </c>
      <c r="Z23" s="9">
        <f t="shared" si="2"/>
        <v>2</v>
      </c>
      <c r="AA23" s="8" t="str">
        <f t="shared" si="3"/>
        <v>Cat 2: Low Water Use</v>
      </c>
    </row>
    <row r="24" spans="1:27" ht="19.95" customHeight="1" x14ac:dyDescent="0.3">
      <c r="A24" s="3" t="s">
        <v>203</v>
      </c>
      <c r="B24" s="8" t="s">
        <v>194</v>
      </c>
      <c r="C24" s="4">
        <v>1.5</v>
      </c>
      <c r="D24" s="4">
        <v>14</v>
      </c>
      <c r="E24" s="4">
        <v>1.8</v>
      </c>
      <c r="F24" s="4">
        <v>2.2000000000000002</v>
      </c>
      <c r="G24" s="4">
        <v>3.3</v>
      </c>
      <c r="H24" s="5">
        <v>5.0999999999999996</v>
      </c>
      <c r="I24" s="9" t="s">
        <v>150</v>
      </c>
      <c r="J24" s="4">
        <v>5</v>
      </c>
      <c r="K24" s="4">
        <v>0.7</v>
      </c>
      <c r="L24" s="19">
        <v>0</v>
      </c>
      <c r="M24" s="19">
        <v>0</v>
      </c>
      <c r="N24" s="19">
        <v>0</v>
      </c>
      <c r="O24" s="19">
        <v>0.35</v>
      </c>
      <c r="P24" s="19">
        <v>0.75</v>
      </c>
      <c r="Q24" s="19">
        <v>1.05</v>
      </c>
      <c r="R24" s="19">
        <v>0.9</v>
      </c>
      <c r="S24" s="19">
        <v>0</v>
      </c>
      <c r="T24" s="19">
        <v>0</v>
      </c>
      <c r="U24" s="19">
        <v>0</v>
      </c>
      <c r="V24" s="19">
        <v>0</v>
      </c>
      <c r="W24" s="19">
        <v>0</v>
      </c>
      <c r="X24" s="9">
        <f t="shared" si="0"/>
        <v>5</v>
      </c>
      <c r="Y24" s="8" t="str">
        <f t="shared" si="1"/>
        <v>Cat 5: Sensitive</v>
      </c>
      <c r="Z24" s="9">
        <f t="shared" si="2"/>
        <v>2</v>
      </c>
      <c r="AA24" s="8" t="str">
        <f t="shared" si="3"/>
        <v>Cat 2: Low Water Use</v>
      </c>
    </row>
    <row r="25" spans="1:27" ht="19.95" customHeight="1" x14ac:dyDescent="0.3">
      <c r="A25" s="3" t="s">
        <v>204</v>
      </c>
      <c r="B25" s="8" t="s">
        <v>205</v>
      </c>
      <c r="C25" s="4">
        <v>1.2</v>
      </c>
      <c r="D25" s="4">
        <v>16</v>
      </c>
      <c r="E25" s="4">
        <v>1.5</v>
      </c>
      <c r="F25" s="4">
        <v>1.8</v>
      </c>
      <c r="G25" s="4">
        <v>2.4</v>
      </c>
      <c r="H25" s="5">
        <v>3.7</v>
      </c>
      <c r="I25" s="9" t="s">
        <v>144</v>
      </c>
      <c r="J25" s="4">
        <v>5</v>
      </c>
      <c r="K25" s="4">
        <v>0.65</v>
      </c>
      <c r="L25" s="19">
        <v>0.4</v>
      </c>
      <c r="M25" s="19">
        <v>0.6</v>
      </c>
      <c r="N25" s="19">
        <v>0.95</v>
      </c>
      <c r="O25" s="19">
        <v>1</v>
      </c>
      <c r="P25" s="19">
        <v>0.75</v>
      </c>
      <c r="Q25" s="19">
        <v>0</v>
      </c>
      <c r="R25" s="19">
        <v>0</v>
      </c>
      <c r="S25" s="19">
        <v>0</v>
      </c>
      <c r="T25" s="19">
        <v>0</v>
      </c>
      <c r="U25" s="19">
        <v>0</v>
      </c>
      <c r="V25" s="19">
        <v>0</v>
      </c>
      <c r="W25" s="19">
        <v>0</v>
      </c>
      <c r="X25" s="9">
        <f t="shared" si="0"/>
        <v>5</v>
      </c>
      <c r="Y25" s="8" t="str">
        <f t="shared" si="1"/>
        <v>Cat 5: Sensitive</v>
      </c>
      <c r="Z25" s="9">
        <f t="shared" si="2"/>
        <v>2</v>
      </c>
      <c r="AA25" s="8" t="str">
        <f t="shared" si="3"/>
        <v>Cat 2: Low Water Use</v>
      </c>
    </row>
    <row r="26" spans="1:27" ht="19.95" customHeight="1" x14ac:dyDescent="0.3">
      <c r="A26" s="3" t="s">
        <v>206</v>
      </c>
      <c r="B26" s="8" t="s">
        <v>207</v>
      </c>
      <c r="C26" s="4">
        <v>2</v>
      </c>
      <c r="D26" s="4">
        <v>13</v>
      </c>
      <c r="E26" s="4">
        <v>2.4</v>
      </c>
      <c r="F26" s="4">
        <v>3</v>
      </c>
      <c r="G26" s="4">
        <v>3.9</v>
      </c>
      <c r="H26" s="5">
        <v>5.8</v>
      </c>
      <c r="I26" s="9" t="s">
        <v>150</v>
      </c>
      <c r="J26" s="4">
        <v>4</v>
      </c>
      <c r="K26" s="4">
        <v>0.65</v>
      </c>
      <c r="L26" s="19">
        <v>0</v>
      </c>
      <c r="M26" s="19">
        <v>0</v>
      </c>
      <c r="N26" s="19">
        <v>0</v>
      </c>
      <c r="O26" s="19">
        <v>0.4</v>
      </c>
      <c r="P26" s="19">
        <v>0.8</v>
      </c>
      <c r="Q26" s="19">
        <v>1</v>
      </c>
      <c r="R26" s="19">
        <v>0.75</v>
      </c>
      <c r="S26" s="19">
        <v>0</v>
      </c>
      <c r="T26" s="19">
        <v>0</v>
      </c>
      <c r="U26" s="19">
        <v>0</v>
      </c>
      <c r="V26" s="19">
        <v>0</v>
      </c>
      <c r="W26" s="19">
        <v>0</v>
      </c>
      <c r="X26" s="9">
        <f t="shared" si="0"/>
        <v>5</v>
      </c>
      <c r="Y26" s="8" t="str">
        <f t="shared" si="1"/>
        <v>Cat 5: Sensitive</v>
      </c>
      <c r="Z26" s="9">
        <f t="shared" si="2"/>
        <v>1</v>
      </c>
      <c r="AA26" s="8" t="str">
        <f t="shared" si="3"/>
        <v>Cat 1: Very Low Water Use</v>
      </c>
    </row>
    <row r="27" spans="1:27" ht="19.95" customHeight="1" x14ac:dyDescent="0.3">
      <c r="A27" s="3" t="s">
        <v>208</v>
      </c>
      <c r="B27" s="8" t="s">
        <v>207</v>
      </c>
      <c r="C27" s="4">
        <v>2.2000000000000002</v>
      </c>
      <c r="D27" s="4">
        <v>12</v>
      </c>
      <c r="E27" s="4">
        <v>2.6</v>
      </c>
      <c r="F27" s="4">
        <v>3.2</v>
      </c>
      <c r="G27" s="4">
        <v>4.3</v>
      </c>
      <c r="H27" s="5">
        <v>6.4</v>
      </c>
      <c r="I27" s="9" t="s">
        <v>150</v>
      </c>
      <c r="J27" s="4">
        <v>4</v>
      </c>
      <c r="K27" s="4">
        <v>0.65</v>
      </c>
      <c r="L27" s="19">
        <v>0</v>
      </c>
      <c r="M27" s="19">
        <v>0</v>
      </c>
      <c r="N27" s="19">
        <v>0</v>
      </c>
      <c r="O27" s="19">
        <v>0.4</v>
      </c>
      <c r="P27" s="19">
        <v>0.8</v>
      </c>
      <c r="Q27" s="19">
        <v>1.05</v>
      </c>
      <c r="R27" s="19">
        <v>0.75</v>
      </c>
      <c r="S27" s="19">
        <v>0</v>
      </c>
      <c r="T27" s="19">
        <v>0</v>
      </c>
      <c r="U27" s="19">
        <v>0</v>
      </c>
      <c r="V27" s="19">
        <v>0</v>
      </c>
      <c r="W27" s="19">
        <v>0</v>
      </c>
      <c r="X27" s="9">
        <f t="shared" si="0"/>
        <v>5</v>
      </c>
      <c r="Y27" s="8" t="str">
        <f t="shared" si="1"/>
        <v>Cat 5: Sensitive</v>
      </c>
      <c r="Z27" s="9">
        <f t="shared" si="2"/>
        <v>2</v>
      </c>
      <c r="AA27" s="8" t="str">
        <f t="shared" si="3"/>
        <v>Cat 2: Low Water Use</v>
      </c>
    </row>
    <row r="28" spans="1:27" ht="19.95" customHeight="1" x14ac:dyDescent="0.3">
      <c r="A28" s="3" t="s">
        <v>209</v>
      </c>
      <c r="B28" s="8" t="s">
        <v>202</v>
      </c>
      <c r="C28" s="4">
        <v>1</v>
      </c>
      <c r="D28" s="4">
        <v>14</v>
      </c>
      <c r="E28" s="4">
        <v>1.4</v>
      </c>
      <c r="F28" s="4">
        <v>1.9</v>
      </c>
      <c r="G28" s="4">
        <v>2.8</v>
      </c>
      <c r="H28" s="5">
        <v>4.5999999999999996</v>
      </c>
      <c r="I28" s="9" t="s">
        <v>144</v>
      </c>
      <c r="J28" s="4">
        <v>4</v>
      </c>
      <c r="K28" s="4">
        <v>0.6</v>
      </c>
      <c r="L28" s="19">
        <v>0.4</v>
      </c>
      <c r="M28" s="19">
        <v>0.7</v>
      </c>
      <c r="N28" s="19">
        <v>0.95</v>
      </c>
      <c r="O28" s="19">
        <v>0.75</v>
      </c>
      <c r="P28" s="19">
        <v>0</v>
      </c>
      <c r="Q28" s="19">
        <v>0</v>
      </c>
      <c r="R28" s="19">
        <v>0</v>
      </c>
      <c r="S28" s="19">
        <v>0</v>
      </c>
      <c r="T28" s="19">
        <v>0</v>
      </c>
      <c r="U28" s="19">
        <v>0</v>
      </c>
      <c r="V28" s="19">
        <v>0</v>
      </c>
      <c r="W28" s="19">
        <v>0</v>
      </c>
      <c r="X28" s="9">
        <f t="shared" si="0"/>
        <v>5</v>
      </c>
      <c r="Y28" s="8" t="str">
        <f t="shared" si="1"/>
        <v>Cat 5: Sensitive</v>
      </c>
      <c r="Z28" s="9">
        <f t="shared" si="2"/>
        <v>1</v>
      </c>
      <c r="AA28" s="8" t="str">
        <f t="shared" si="3"/>
        <v>Cat 1: Very Low Water Use</v>
      </c>
    </row>
    <row r="29" spans="1:27" ht="19.95" customHeight="1" x14ac:dyDescent="0.3">
      <c r="A29" s="3" t="s">
        <v>210</v>
      </c>
      <c r="B29" s="8" t="s">
        <v>196</v>
      </c>
      <c r="C29" s="4">
        <v>1.3</v>
      </c>
      <c r="D29" s="4">
        <v>13</v>
      </c>
      <c r="E29" s="4">
        <v>1.7</v>
      </c>
      <c r="F29" s="4">
        <v>2.2999999999999998</v>
      </c>
      <c r="G29" s="4">
        <v>3.2</v>
      </c>
      <c r="H29" s="5">
        <v>5.0999999999999996</v>
      </c>
      <c r="I29" s="9" t="s">
        <v>144</v>
      </c>
      <c r="J29" s="4">
        <v>3</v>
      </c>
      <c r="K29" s="4">
        <v>0.6</v>
      </c>
      <c r="L29" s="19">
        <v>0.4</v>
      </c>
      <c r="M29" s="19">
        <v>0.7</v>
      </c>
      <c r="N29" s="19">
        <v>0.9</v>
      </c>
      <c r="O29" s="19">
        <v>0</v>
      </c>
      <c r="P29" s="19">
        <v>0</v>
      </c>
      <c r="Q29" s="19">
        <v>0</v>
      </c>
      <c r="R29" s="19">
        <v>0</v>
      </c>
      <c r="S29" s="19">
        <v>0</v>
      </c>
      <c r="T29" s="19">
        <v>0</v>
      </c>
      <c r="U29" s="19">
        <v>0</v>
      </c>
      <c r="V29" s="19">
        <v>0</v>
      </c>
      <c r="W29" s="19">
        <v>0</v>
      </c>
      <c r="X29" s="9">
        <f t="shared" si="0"/>
        <v>5</v>
      </c>
      <c r="Y29" s="8" t="str">
        <f t="shared" si="1"/>
        <v>Cat 5: Sensitive</v>
      </c>
      <c r="Z29" s="9">
        <f t="shared" si="2"/>
        <v>1</v>
      </c>
      <c r="AA29" s="8" t="str">
        <f t="shared" si="3"/>
        <v>Cat 1: Very Low Water Use</v>
      </c>
    </row>
    <row r="30" spans="1:27" ht="19.95" customHeight="1" x14ac:dyDescent="0.3">
      <c r="A30" s="3" t="s">
        <v>211</v>
      </c>
      <c r="B30" s="8" t="s">
        <v>205</v>
      </c>
      <c r="C30" s="4">
        <v>1.7</v>
      </c>
      <c r="D30" s="4">
        <v>16</v>
      </c>
      <c r="E30" s="4">
        <v>2</v>
      </c>
      <c r="F30" s="4">
        <v>2.5</v>
      </c>
      <c r="G30" s="4">
        <v>3.3</v>
      </c>
      <c r="H30" s="5">
        <v>4.8</v>
      </c>
      <c r="I30" s="9" t="s">
        <v>144</v>
      </c>
      <c r="J30" s="4">
        <v>6</v>
      </c>
      <c r="K30" s="4">
        <v>0.6</v>
      </c>
      <c r="L30" s="19">
        <v>0.4</v>
      </c>
      <c r="M30" s="19">
        <v>0.6</v>
      </c>
      <c r="N30" s="19">
        <v>0.8</v>
      </c>
      <c r="O30" s="19">
        <v>0.9</v>
      </c>
      <c r="P30" s="19">
        <v>0.8</v>
      </c>
      <c r="Q30" s="19">
        <v>0.5</v>
      </c>
      <c r="R30" s="19">
        <v>0</v>
      </c>
      <c r="S30" s="19">
        <v>0</v>
      </c>
      <c r="T30" s="19">
        <v>0</v>
      </c>
      <c r="U30" s="19">
        <v>0</v>
      </c>
      <c r="V30" s="19">
        <v>0</v>
      </c>
      <c r="W30" s="19">
        <v>0</v>
      </c>
      <c r="X30" s="9">
        <f t="shared" si="0"/>
        <v>5</v>
      </c>
      <c r="Y30" s="8" t="str">
        <f t="shared" si="1"/>
        <v>Cat 5: Sensitive</v>
      </c>
      <c r="Z30" s="9">
        <f t="shared" si="2"/>
        <v>2</v>
      </c>
      <c r="AA30" s="8" t="str">
        <f t="shared" si="3"/>
        <v>Cat 2: Low Water Use</v>
      </c>
    </row>
    <row r="31" spans="1:27" ht="19.95" customHeight="1" x14ac:dyDescent="0.3">
      <c r="A31" s="3" t="s">
        <v>66</v>
      </c>
      <c r="B31" s="8" t="s">
        <v>67</v>
      </c>
      <c r="C31" s="4">
        <v>4</v>
      </c>
      <c r="D31" s="4">
        <v>12</v>
      </c>
      <c r="E31" s="4">
        <v>4.8</v>
      </c>
      <c r="F31" s="4">
        <v>6.1</v>
      </c>
      <c r="G31" s="4">
        <v>8.1999999999999993</v>
      </c>
      <c r="H31" s="5">
        <v>12</v>
      </c>
      <c r="I31" s="9" t="s">
        <v>144</v>
      </c>
      <c r="J31" s="4">
        <v>4</v>
      </c>
      <c r="K31" s="4">
        <v>0.6</v>
      </c>
      <c r="L31" s="19">
        <v>0.4</v>
      </c>
      <c r="M31" s="19">
        <v>0.7</v>
      </c>
      <c r="N31" s="19">
        <v>1</v>
      </c>
      <c r="O31" s="19">
        <v>0.8</v>
      </c>
      <c r="P31" s="19">
        <v>0</v>
      </c>
      <c r="Q31" s="19">
        <v>0</v>
      </c>
      <c r="R31" s="19">
        <v>0</v>
      </c>
      <c r="S31" s="19">
        <v>0</v>
      </c>
      <c r="T31" s="19">
        <v>0</v>
      </c>
      <c r="U31" s="19">
        <v>0</v>
      </c>
      <c r="V31" s="19">
        <v>0</v>
      </c>
      <c r="W31" s="19">
        <v>0</v>
      </c>
      <c r="X31" s="9">
        <f t="shared" si="0"/>
        <v>3</v>
      </c>
      <c r="Y31" s="8" t="str">
        <f t="shared" si="1"/>
        <v>Cat 3: Moderately Salinity Tolerant</v>
      </c>
      <c r="Z31" s="9">
        <f t="shared" si="2"/>
        <v>1</v>
      </c>
      <c r="AA31" s="8" t="str">
        <f t="shared" si="3"/>
        <v>Cat 1: Very Low Water Use</v>
      </c>
    </row>
    <row r="32" spans="1:27" ht="19.95" customHeight="1" x14ac:dyDescent="0.3">
      <c r="A32" s="3" t="s">
        <v>68</v>
      </c>
      <c r="B32" s="8" t="s">
        <v>212</v>
      </c>
      <c r="C32" s="4">
        <v>5</v>
      </c>
      <c r="D32" s="4">
        <v>10</v>
      </c>
      <c r="E32" s="4">
        <v>6</v>
      </c>
      <c r="F32" s="4">
        <v>7.5</v>
      </c>
      <c r="G32" s="4">
        <v>10</v>
      </c>
      <c r="H32" s="5">
        <v>16</v>
      </c>
      <c r="I32" s="9" t="s">
        <v>150</v>
      </c>
      <c r="J32" s="4">
        <v>5</v>
      </c>
      <c r="K32" s="4">
        <v>0.7</v>
      </c>
      <c r="L32" s="19">
        <v>0</v>
      </c>
      <c r="M32" s="19">
        <v>0</v>
      </c>
      <c r="N32" s="19">
        <v>0</v>
      </c>
      <c r="O32" s="19">
        <v>0.4</v>
      </c>
      <c r="P32" s="19">
        <v>0.8</v>
      </c>
      <c r="Q32" s="19">
        <v>1.1000000000000001</v>
      </c>
      <c r="R32" s="19">
        <v>0.9</v>
      </c>
      <c r="S32" s="19">
        <v>0.4</v>
      </c>
      <c r="T32" s="19">
        <v>0</v>
      </c>
      <c r="U32" s="19">
        <v>0</v>
      </c>
      <c r="V32" s="19">
        <v>0</v>
      </c>
      <c r="W32" s="19">
        <v>0</v>
      </c>
      <c r="X32" s="9">
        <f t="shared" si="0"/>
        <v>3</v>
      </c>
      <c r="Y32" s="8" t="str">
        <f t="shared" si="1"/>
        <v>Cat 3: Moderately Salinity Tolerant</v>
      </c>
      <c r="Z32" s="9">
        <f t="shared" si="2"/>
        <v>2</v>
      </c>
      <c r="AA32" s="8" t="str">
        <f t="shared" si="3"/>
        <v>Cat 2: Low Water Use</v>
      </c>
    </row>
    <row r="33" spans="1:27" ht="19.95" customHeight="1" x14ac:dyDescent="0.3">
      <c r="A33" s="3" t="s">
        <v>213</v>
      </c>
      <c r="B33" s="8" t="s">
        <v>214</v>
      </c>
      <c r="C33" s="4">
        <v>2</v>
      </c>
      <c r="D33" s="4">
        <v>7.3</v>
      </c>
      <c r="E33" s="4">
        <v>3.4</v>
      </c>
      <c r="F33" s="4">
        <v>5.4</v>
      </c>
      <c r="G33" s="4">
        <v>8.9</v>
      </c>
      <c r="H33" s="5">
        <v>15.7</v>
      </c>
      <c r="I33" s="9" t="s">
        <v>144</v>
      </c>
      <c r="J33" s="4">
        <v>12</v>
      </c>
      <c r="K33" s="4">
        <v>1</v>
      </c>
      <c r="L33" s="19">
        <v>0.85</v>
      </c>
      <c r="M33" s="19">
        <v>0.85</v>
      </c>
      <c r="N33" s="19">
        <v>0.85</v>
      </c>
      <c r="O33" s="19">
        <v>0.95</v>
      </c>
      <c r="P33" s="19">
        <v>1.1499999999999999</v>
      </c>
      <c r="Q33" s="19">
        <v>1.2</v>
      </c>
      <c r="R33" s="19">
        <v>1.2</v>
      </c>
      <c r="S33" s="19">
        <v>1.1499999999999999</v>
      </c>
      <c r="T33" s="19">
        <v>1.05</v>
      </c>
      <c r="U33" s="19">
        <v>0.95</v>
      </c>
      <c r="V33" s="19">
        <v>0.85</v>
      </c>
      <c r="W33" s="19">
        <v>0.85</v>
      </c>
      <c r="X33" s="9">
        <f t="shared" si="0"/>
        <v>3</v>
      </c>
      <c r="Y33" s="8" t="str">
        <f t="shared" si="1"/>
        <v>Cat 3: Moderately Salinity Tolerant</v>
      </c>
      <c r="Z33" s="9">
        <f t="shared" si="2"/>
        <v>5</v>
      </c>
      <c r="AA33" s="8" t="str">
        <f t="shared" si="3"/>
        <v>Cat 5: Very High Water Use</v>
      </c>
    </row>
    <row r="34" spans="1:27" ht="19.95" customHeight="1" x14ac:dyDescent="0.3">
      <c r="A34" s="3" t="s">
        <v>215</v>
      </c>
      <c r="B34" s="8" t="s">
        <v>207</v>
      </c>
      <c r="C34" s="4">
        <v>1</v>
      </c>
      <c r="D34" s="4">
        <v>33</v>
      </c>
      <c r="E34" s="4">
        <v>1.3</v>
      </c>
      <c r="F34" s="4">
        <v>1.8</v>
      </c>
      <c r="G34" s="4">
        <v>2.5</v>
      </c>
      <c r="H34" s="5">
        <v>4</v>
      </c>
      <c r="I34" s="9" t="s">
        <v>144</v>
      </c>
      <c r="J34" s="4">
        <v>7</v>
      </c>
      <c r="K34" s="4">
        <v>0.6</v>
      </c>
      <c r="L34" s="19">
        <v>0.4</v>
      </c>
      <c r="M34" s="19">
        <v>0.6</v>
      </c>
      <c r="N34" s="19">
        <v>0.85</v>
      </c>
      <c r="O34" s="19">
        <v>1.05</v>
      </c>
      <c r="P34" s="19">
        <v>0.9</v>
      </c>
      <c r="Q34" s="19">
        <v>0.6</v>
      </c>
      <c r="R34" s="19">
        <v>0</v>
      </c>
      <c r="S34" s="19">
        <v>0</v>
      </c>
      <c r="T34" s="19">
        <v>0</v>
      </c>
      <c r="U34" s="19">
        <v>0</v>
      </c>
      <c r="V34" s="19">
        <v>0</v>
      </c>
      <c r="W34" s="19">
        <v>0</v>
      </c>
      <c r="X34" s="9">
        <f t="shared" si="0"/>
        <v>5</v>
      </c>
      <c r="Y34" s="8" t="str">
        <f t="shared" si="1"/>
        <v>Cat 5: Sensitive</v>
      </c>
      <c r="Z34" s="9">
        <f t="shared" si="2"/>
        <v>3</v>
      </c>
      <c r="AA34" s="8" t="str">
        <f t="shared" si="3"/>
        <v>Cat 3: Moderate Water Use</v>
      </c>
    </row>
  </sheetData>
  <mergeCells count="2">
    <mergeCell ref="A2:W2"/>
    <mergeCell ref="A1:W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
  <sheetViews>
    <sheetView workbookViewId="0">
      <selection activeCell="D18" sqref="D18:E18"/>
    </sheetView>
  </sheetViews>
  <sheetFormatPr defaultRowHeight="14.4" x14ac:dyDescent="0.3"/>
  <cols>
    <col min="1" max="1" width="39.88671875" customWidth="1"/>
    <col min="2" max="2" width="28" customWidth="1"/>
    <col min="3" max="3" width="12" customWidth="1"/>
    <col min="4" max="4" width="23" customWidth="1"/>
    <col min="5" max="5" width="20" customWidth="1"/>
    <col min="6" max="6" width="23" customWidth="1"/>
    <col min="7" max="7" width="20" customWidth="1"/>
    <col min="8" max="8" width="12" customWidth="1"/>
    <col min="9" max="11" width="17" customWidth="1"/>
    <col min="12" max="12" width="21" customWidth="1"/>
    <col min="13" max="14" width="12" customWidth="1"/>
  </cols>
  <sheetData>
    <row r="1" spans="1:14" ht="37.950000000000003" customHeight="1" x14ac:dyDescent="0.3">
      <c r="A1" s="65" t="s">
        <v>31</v>
      </c>
      <c r="B1" s="49"/>
      <c r="C1" s="49"/>
      <c r="D1" s="49"/>
      <c r="E1" s="49"/>
      <c r="F1" s="49"/>
      <c r="G1" s="49"/>
      <c r="H1" s="49"/>
      <c r="I1" s="49"/>
      <c r="J1" s="49"/>
      <c r="K1" s="49"/>
      <c r="L1" s="49"/>
      <c r="M1" s="49"/>
      <c r="N1" s="49"/>
    </row>
    <row r="3" spans="1:14" ht="22.2" customHeight="1" x14ac:dyDescent="0.3">
      <c r="A3" s="48" t="s">
        <v>32</v>
      </c>
      <c r="B3" s="49"/>
      <c r="C3" s="49"/>
      <c r="D3" s="49"/>
      <c r="E3" s="49"/>
      <c r="F3" s="49"/>
      <c r="G3" s="49"/>
      <c r="H3" s="49"/>
      <c r="I3" s="49"/>
      <c r="J3" s="49"/>
      <c r="K3" s="49"/>
      <c r="L3" s="49"/>
      <c r="M3" s="49"/>
      <c r="N3" s="49"/>
    </row>
    <row r="4" spans="1:14" ht="18" customHeight="1" x14ac:dyDescent="0.3">
      <c r="A4" s="50" t="s">
        <v>33</v>
      </c>
      <c r="B4" s="51"/>
      <c r="C4" s="52"/>
      <c r="D4" s="50" t="s">
        <v>34</v>
      </c>
      <c r="E4" s="51"/>
      <c r="F4" s="52"/>
      <c r="G4" s="50" t="s">
        <v>35</v>
      </c>
      <c r="H4" s="51"/>
      <c r="I4" s="51"/>
      <c r="J4" s="52"/>
      <c r="K4" s="50" t="s">
        <v>36</v>
      </c>
      <c r="L4" s="51"/>
      <c r="M4" s="51"/>
      <c r="N4" s="52"/>
    </row>
    <row r="5" spans="1:14" ht="25.95" customHeight="1" x14ac:dyDescent="0.3">
      <c r="A5" s="53" t="str">
        <f>'W&amp;S Balance Model'!$F$9</f>
        <v>Barley</v>
      </c>
      <c r="B5" s="51"/>
      <c r="C5" s="52"/>
      <c r="D5" s="53" t="str">
        <f>VLOOKUP('W&amp;S Balance Model'!$B$5, 'Crop Database'!$A$5:$I$34, 9, FALSE)</f>
        <v>Oct</v>
      </c>
      <c r="E5" s="51"/>
      <c r="F5" s="52"/>
      <c r="G5" s="53" t="s">
        <v>37</v>
      </c>
      <c r="H5" s="51"/>
      <c r="I5" s="51"/>
      <c r="J5" s="52"/>
      <c r="K5" s="53" t="s">
        <v>38</v>
      </c>
      <c r="L5" s="51"/>
      <c r="M5" s="51"/>
      <c r="N5" s="52"/>
    </row>
    <row r="6" spans="1:14" ht="18" customHeight="1" x14ac:dyDescent="0.3">
      <c r="A6" s="54" t="str">
        <f>'W&amp;S Balance Model'!$F$10</f>
        <v>Salt: Cat 2: High Salinity Tolerant | Water: Cat 3: Moderate Water Use</v>
      </c>
      <c r="B6" s="51"/>
      <c r="C6" s="52"/>
      <c r="D6" s="54" t="s">
        <v>39</v>
      </c>
      <c r="E6" s="51"/>
      <c r="F6" s="52"/>
      <c r="G6" s="54" t="s">
        <v>40</v>
      </c>
      <c r="H6" s="51"/>
      <c r="I6" s="51"/>
      <c r="J6" s="52"/>
      <c r="K6" s="54" t="s">
        <v>41</v>
      </c>
      <c r="L6" s="51"/>
      <c r="M6" s="51"/>
      <c r="N6" s="52"/>
    </row>
    <row r="8" spans="1:14" ht="22.2" customHeight="1" x14ac:dyDescent="0.3">
      <c r="A8" s="48" t="s">
        <v>42</v>
      </c>
      <c r="B8" s="49"/>
      <c r="C8" s="49"/>
      <c r="D8" s="49"/>
      <c r="E8" s="49"/>
      <c r="F8" s="49"/>
      <c r="G8" s="49"/>
      <c r="H8" s="49"/>
      <c r="I8" s="49"/>
      <c r="J8" s="49"/>
      <c r="K8" s="49"/>
      <c r="L8" s="49"/>
      <c r="M8" s="49"/>
      <c r="N8" s="49"/>
    </row>
    <row r="9" spans="1:14" ht="22.2" customHeight="1" x14ac:dyDescent="0.3">
      <c r="A9" s="1" t="s">
        <v>43</v>
      </c>
      <c r="B9" s="56" t="s">
        <v>44</v>
      </c>
      <c r="C9" s="52"/>
      <c r="D9" s="56" t="s">
        <v>45</v>
      </c>
      <c r="E9" s="52"/>
      <c r="F9" s="1" t="s">
        <v>46</v>
      </c>
      <c r="G9" s="1" t="s">
        <v>47</v>
      </c>
      <c r="H9" s="56" t="s">
        <v>48</v>
      </c>
      <c r="I9" s="51"/>
      <c r="J9" s="51"/>
      <c r="K9" s="51"/>
      <c r="L9" s="51"/>
      <c r="M9" s="51"/>
      <c r="N9" s="52"/>
    </row>
    <row r="10" spans="1:14" ht="19.95" customHeight="1" x14ac:dyDescent="0.3">
      <c r="A10" s="8" t="s">
        <v>49</v>
      </c>
      <c r="B10" s="55" t="s">
        <v>50</v>
      </c>
      <c r="C10" s="52"/>
      <c r="D10" s="66" t="s">
        <v>51</v>
      </c>
      <c r="E10" s="52"/>
      <c r="F10" s="4">
        <v>25</v>
      </c>
      <c r="G10" s="5">
        <v>75</v>
      </c>
      <c r="H10" s="74" t="str">
        <f>IF('W&amp;S Balance Model'!$B$13&lt;=F10, "FULLY SUITABLE (100% Yield)", IF('W&amp;S Balance Model'!$B$13&lt;=G10, "VIABLE PIONEER CROP (Reduced Yield)", "UNSUITABLE (Soil Too Salty)"))</f>
        <v>FULLY SUITABLE (100% Yield)</v>
      </c>
      <c r="I10" s="51"/>
      <c r="J10" s="51"/>
      <c r="K10" s="51"/>
      <c r="L10" s="51"/>
      <c r="M10" s="51"/>
      <c r="N10" s="52"/>
    </row>
    <row r="11" spans="1:14" ht="19.95" customHeight="1" x14ac:dyDescent="0.3">
      <c r="A11" s="8" t="s">
        <v>49</v>
      </c>
      <c r="B11" s="55" t="s">
        <v>52</v>
      </c>
      <c r="C11" s="52"/>
      <c r="D11" s="66" t="s">
        <v>53</v>
      </c>
      <c r="E11" s="52"/>
      <c r="F11" s="4">
        <v>18</v>
      </c>
      <c r="G11" s="5">
        <v>58</v>
      </c>
      <c r="H11" s="74" t="str">
        <f>IF('W&amp;S Balance Model'!$B$13&lt;=F11, "FULLY SUITABLE (100% Yield)", IF('W&amp;S Balance Model'!$B$13&lt;=G11, "VIABLE PIONEER CROP (Reduced Yield)", "UNSUITABLE (Soil Too Salty)"))</f>
        <v>FULLY SUITABLE (100% Yield)</v>
      </c>
      <c r="I11" s="51"/>
      <c r="J11" s="51"/>
      <c r="K11" s="51"/>
      <c r="L11" s="51"/>
      <c r="M11" s="51"/>
      <c r="N11" s="52"/>
    </row>
    <row r="12" spans="1:14" ht="19.95" customHeight="1" x14ac:dyDescent="0.3">
      <c r="A12" s="8" t="s">
        <v>49</v>
      </c>
      <c r="B12" s="55" t="s">
        <v>54</v>
      </c>
      <c r="C12" s="52"/>
      <c r="D12" s="66" t="s">
        <v>55</v>
      </c>
      <c r="E12" s="52"/>
      <c r="F12" s="4">
        <v>12</v>
      </c>
      <c r="G12" s="5">
        <v>39.799999999999997</v>
      </c>
      <c r="H12" s="74" t="str">
        <f>IF('W&amp;S Balance Model'!$B$13&lt;=F12, "FULLY SUITABLE (100% Yield)", IF('W&amp;S Balance Model'!$B$13&lt;=G12, "VIABLE PIONEER CROP (Reduced Yield)", "UNSUITABLE (Soil Too Salty)"))</f>
        <v>FULLY SUITABLE (100% Yield)</v>
      </c>
      <c r="I12" s="51"/>
      <c r="J12" s="51"/>
      <c r="K12" s="51"/>
      <c r="L12" s="51"/>
      <c r="M12" s="51"/>
      <c r="N12" s="52"/>
    </row>
    <row r="13" spans="1:14" ht="19.95" customHeight="1" x14ac:dyDescent="0.3">
      <c r="A13" s="8" t="s">
        <v>56</v>
      </c>
      <c r="B13" s="55" t="s">
        <v>57</v>
      </c>
      <c r="C13" s="52"/>
      <c r="D13" s="66" t="s">
        <v>58</v>
      </c>
      <c r="E13" s="52"/>
      <c r="F13" s="4">
        <v>8.5</v>
      </c>
      <c r="G13" s="5">
        <v>32.299999999999997</v>
      </c>
      <c r="H13" s="74" t="str">
        <f>IF('W&amp;S Balance Model'!$B$13&lt;=F13, "FULLY SUITABLE (100% Yield)", IF('W&amp;S Balance Model'!$B$13&lt;=G13, "VIABLE PIONEER CROP (Reduced Yield)", "UNSUITABLE (Soil Too Salty)"))</f>
        <v>VIABLE PIONEER CROP (Reduced Yield)</v>
      </c>
      <c r="I13" s="51"/>
      <c r="J13" s="51"/>
      <c r="K13" s="51"/>
      <c r="L13" s="51"/>
      <c r="M13" s="51"/>
      <c r="N13" s="52"/>
    </row>
    <row r="14" spans="1:14" ht="19.95" customHeight="1" x14ac:dyDescent="0.3">
      <c r="A14" s="8" t="s">
        <v>56</v>
      </c>
      <c r="B14" s="55" t="s">
        <v>59</v>
      </c>
      <c r="C14" s="52"/>
      <c r="D14" s="66" t="s">
        <v>60</v>
      </c>
      <c r="E14" s="52"/>
      <c r="F14" s="4">
        <v>8</v>
      </c>
      <c r="G14" s="5">
        <v>28</v>
      </c>
      <c r="H14" s="74" t="str">
        <f>IF('W&amp;S Balance Model'!$B$13&lt;=F14, "FULLY SUITABLE (100% Yield)", IF('W&amp;S Balance Model'!$B$13&lt;=G14, "VIABLE PIONEER CROP (Reduced Yield)", "UNSUITABLE (Soil Too Salty)"))</f>
        <v>VIABLE PIONEER CROP (Reduced Yield)</v>
      </c>
      <c r="I14" s="51"/>
      <c r="J14" s="51"/>
      <c r="K14" s="51"/>
      <c r="L14" s="51"/>
      <c r="M14" s="51"/>
      <c r="N14" s="52"/>
    </row>
    <row r="15" spans="1:14" ht="19.95" customHeight="1" x14ac:dyDescent="0.3">
      <c r="A15" s="8" t="s">
        <v>56</v>
      </c>
      <c r="B15" s="55" t="s">
        <v>61</v>
      </c>
      <c r="C15" s="52"/>
      <c r="D15" s="66" t="s">
        <v>62</v>
      </c>
      <c r="E15" s="52"/>
      <c r="F15" s="4">
        <v>11.4</v>
      </c>
      <c r="G15" s="5">
        <v>20.7</v>
      </c>
      <c r="H15" s="74" t="str">
        <f>IF('W&amp;S Balance Model'!$B$13&lt;=F15, "FULLY SUITABLE (100% Yield)", IF('W&amp;S Balance Model'!$B$13&lt;=G15, "VIABLE PIONEER CROP (Reduced Yield)", "UNSUITABLE (Soil Too Salty)"))</f>
        <v>FULLY SUITABLE (100% Yield)</v>
      </c>
      <c r="I15" s="51"/>
      <c r="J15" s="51"/>
      <c r="K15" s="51"/>
      <c r="L15" s="51"/>
      <c r="M15" s="51"/>
      <c r="N15" s="52"/>
    </row>
    <row r="16" spans="1:14" ht="19.95" customHeight="1" x14ac:dyDescent="0.3">
      <c r="A16" s="8" t="s">
        <v>63</v>
      </c>
      <c r="B16" s="55" t="s">
        <v>64</v>
      </c>
      <c r="C16" s="52"/>
      <c r="D16" s="66" t="s">
        <v>65</v>
      </c>
      <c r="E16" s="52"/>
      <c r="F16" s="4">
        <v>8</v>
      </c>
      <c r="G16" s="5">
        <v>26</v>
      </c>
      <c r="H16" s="74" t="str">
        <f>IF('W&amp;S Balance Model'!$B$13&lt;=F16, "FULLY SUITABLE (100% Yield)", IF('W&amp;S Balance Model'!$B$13&lt;=G16, "VIABLE PIONEER CROP (Reduced Yield)", "UNSUITABLE (Soil Too Salty)"))</f>
        <v>VIABLE PIONEER CROP (Reduced Yield)</v>
      </c>
      <c r="I16" s="51"/>
      <c r="J16" s="51"/>
      <c r="K16" s="51"/>
      <c r="L16" s="51"/>
      <c r="M16" s="51"/>
      <c r="N16" s="52"/>
    </row>
    <row r="17" spans="1:14" ht="19.95" customHeight="1" x14ac:dyDescent="0.3">
      <c r="A17" s="8" t="s">
        <v>63</v>
      </c>
      <c r="B17" s="55" t="s">
        <v>66</v>
      </c>
      <c r="C17" s="52"/>
      <c r="D17" s="66" t="s">
        <v>67</v>
      </c>
      <c r="E17" s="52"/>
      <c r="F17" s="4">
        <v>4</v>
      </c>
      <c r="G17" s="5">
        <v>12</v>
      </c>
      <c r="H17" s="74" t="str">
        <f>IF('W&amp;S Balance Model'!$B$13&lt;=F17, "FULLY SUITABLE (100% Yield)", IF('W&amp;S Balance Model'!$B$13&lt;=G17, "VIABLE PIONEER CROP (Reduced Yield)", "UNSUITABLE (Soil Too Salty)"))</f>
        <v>VIABLE PIONEER CROP (Reduced Yield)</v>
      </c>
      <c r="I17" s="51"/>
      <c r="J17" s="51"/>
      <c r="K17" s="51"/>
      <c r="L17" s="51"/>
      <c r="M17" s="51"/>
      <c r="N17" s="52"/>
    </row>
    <row r="18" spans="1:14" ht="19.95" customHeight="1" x14ac:dyDescent="0.3">
      <c r="A18" s="8" t="s">
        <v>63</v>
      </c>
      <c r="B18" s="55" t="s">
        <v>68</v>
      </c>
      <c r="C18" s="52"/>
      <c r="D18" s="66" t="s">
        <v>69</v>
      </c>
      <c r="E18" s="52"/>
      <c r="F18" s="4">
        <v>5</v>
      </c>
      <c r="G18" s="5">
        <v>16</v>
      </c>
      <c r="H18" s="74" t="str">
        <f>IF('W&amp;S Balance Model'!$B$13&lt;=F18, "FULLY SUITABLE (100% Yield)", IF('W&amp;S Balance Model'!$B$13&lt;=G18, "VIABLE PIONEER CROP (Reduced Yield)", "UNSUITABLE (Soil Too Salty)"))</f>
        <v>VIABLE PIONEER CROP (Reduced Yield)</v>
      </c>
      <c r="I18" s="51"/>
      <c r="J18" s="51"/>
      <c r="K18" s="51"/>
      <c r="L18" s="51"/>
      <c r="M18" s="51"/>
      <c r="N18" s="52"/>
    </row>
    <row r="20" spans="1:14" ht="22.2" customHeight="1" x14ac:dyDescent="0.3">
      <c r="A20" s="48" t="s">
        <v>70</v>
      </c>
      <c r="B20" s="49"/>
      <c r="C20" s="49"/>
      <c r="D20" s="49"/>
      <c r="E20" s="49"/>
      <c r="F20" s="49"/>
      <c r="G20" s="49"/>
      <c r="H20" s="49"/>
      <c r="I20" s="49"/>
      <c r="J20" s="49"/>
      <c r="K20" s="49"/>
      <c r="L20" s="49"/>
      <c r="M20" s="49"/>
      <c r="N20" s="49"/>
    </row>
    <row r="21" spans="1:14" ht="22.2" customHeight="1" x14ac:dyDescent="0.3">
      <c r="A21" s="1" t="s">
        <v>71</v>
      </c>
      <c r="B21" s="56" t="s">
        <v>72</v>
      </c>
      <c r="C21" s="52"/>
      <c r="D21" s="1" t="s">
        <v>46</v>
      </c>
      <c r="E21" s="1" t="s">
        <v>47</v>
      </c>
      <c r="F21" s="1" t="s">
        <v>73</v>
      </c>
      <c r="G21" s="1" t="s">
        <v>74</v>
      </c>
      <c r="H21" s="56" t="s">
        <v>75</v>
      </c>
      <c r="I21" s="52"/>
      <c r="J21" s="56" t="s">
        <v>76</v>
      </c>
      <c r="K21" s="52"/>
      <c r="L21" s="56" t="s">
        <v>77</v>
      </c>
      <c r="M21" s="51"/>
      <c r="N21" s="52"/>
    </row>
    <row r="22" spans="1:14" ht="19.95" customHeight="1" x14ac:dyDescent="0.3">
      <c r="A22" s="3" t="str">
        <f>'Crop Database'!A5</f>
        <v>Salicornia (Glasswort)</v>
      </c>
      <c r="B22" s="75" t="str">
        <f>'Crop Database'!B5</f>
        <v>Halophyte Oilseed/Vegetable</v>
      </c>
      <c r="C22" s="52"/>
      <c r="D22" s="4">
        <f>'Crop Database'!C5</f>
        <v>25</v>
      </c>
      <c r="E22" s="5">
        <f>'Crop Database'!H5</f>
        <v>75</v>
      </c>
      <c r="F22" s="9" t="str">
        <f>'Crop Database'!I5</f>
        <v>Apr</v>
      </c>
      <c r="G22" s="9">
        <f>'Crop Database'!J5</f>
        <v>6</v>
      </c>
      <c r="H22" s="76">
        <f>ROUND(SUM('Crop Database'!L5:W5) * 150, 0)</f>
        <v>1095</v>
      </c>
      <c r="I22" s="52"/>
      <c r="J22" s="74" t="str">
        <f t="shared" ref="J22:J33" si="0">IF(H22&lt;650, "HIGH EFFICIENCY (Low Water Use)", IF(H22&lt;1100, "MODERATE CONSUMER", "HIGH WATER CONSUMER"))</f>
        <v>MODERATE CONSUMER</v>
      </c>
      <c r="K22" s="52"/>
      <c r="L22" s="74" t="str">
        <f>IF(AND('W&amp;S Balance Model'!$B$13&lt;=E22, IF(LEFT('W&amp;S Balance Model'!$B$11,7)="Rainfed", H22&lt;=450, TRUE)), "SUITABLE (Both Salt &amp; Water Met)", IF('W&amp;S Balance Model'!$B$13&lt;=E22, "SALT VIABLE ONLY (Water Restrained)", "UNSUITABLE (Too Salty)"))</f>
        <v>SUITABLE (Both Salt &amp; Water Met)</v>
      </c>
      <c r="M22" s="51"/>
      <c r="N22" s="52"/>
    </row>
    <row r="23" spans="1:14" ht="19.95" customHeight="1" x14ac:dyDescent="0.3">
      <c r="A23" s="3" t="str">
        <f>'Crop Database'!A10</f>
        <v>Cotton</v>
      </c>
      <c r="B23" s="75" t="str">
        <f>'Crop Database'!B10</f>
        <v>Summer Industrial</v>
      </c>
      <c r="C23" s="52"/>
      <c r="D23" s="4">
        <f>'Crop Database'!C10</f>
        <v>7.7</v>
      </c>
      <c r="E23" s="5">
        <f>'Crop Database'!H10</f>
        <v>26.9</v>
      </c>
      <c r="F23" s="9" t="str">
        <f>'Crop Database'!I10</f>
        <v>Apr</v>
      </c>
      <c r="G23" s="9">
        <f>'Crop Database'!J10</f>
        <v>6</v>
      </c>
      <c r="H23" s="76">
        <f>ROUND(SUM('Crop Database'!L10:W10) * 150, 0)</f>
        <v>773</v>
      </c>
      <c r="I23" s="52"/>
      <c r="J23" s="74" t="str">
        <f t="shared" si="0"/>
        <v>MODERATE CONSUMER</v>
      </c>
      <c r="K23" s="52"/>
      <c r="L23" s="74" t="str">
        <f>IF(AND('W&amp;S Balance Model'!$B$13&lt;=E23, IF(LEFT('W&amp;S Balance Model'!$B$11,7)="Rainfed", H23&lt;=450, TRUE)), "SUITABLE (Both Salt &amp; Water Met)", IF('W&amp;S Balance Model'!$B$13&lt;=E23, "SALT VIABLE ONLY (Water Restrained)", "UNSUITABLE (Too Salty)"))</f>
        <v>SUITABLE (Both Salt &amp; Water Met)</v>
      </c>
      <c r="M23" s="51"/>
      <c r="N23" s="52"/>
    </row>
    <row r="24" spans="1:14" ht="19.95" customHeight="1" x14ac:dyDescent="0.3">
      <c r="A24" s="3" t="str">
        <f>'Crop Database'!A27</f>
        <v>Melon / Cantaloupe</v>
      </c>
      <c r="B24" s="75" t="str">
        <f>'Crop Database'!B27</f>
        <v>Fruit Vegetable</v>
      </c>
      <c r="C24" s="52"/>
      <c r="D24" s="4">
        <f>'Crop Database'!C27</f>
        <v>2.2000000000000002</v>
      </c>
      <c r="E24" s="5">
        <f>'Crop Database'!H27</f>
        <v>6.4</v>
      </c>
      <c r="F24" s="9" t="str">
        <f>'Crop Database'!I27</f>
        <v>Apr</v>
      </c>
      <c r="G24" s="9">
        <f>'Crop Database'!J27</f>
        <v>4</v>
      </c>
      <c r="H24" s="76">
        <f>ROUND(SUM('Crop Database'!L27:W27) * 150, 0)</f>
        <v>450</v>
      </c>
      <c r="I24" s="52"/>
      <c r="J24" s="74" t="str">
        <f t="shared" si="0"/>
        <v>HIGH EFFICIENCY (Low Water Use)</v>
      </c>
      <c r="K24" s="52"/>
      <c r="L24" s="74" t="str">
        <f>IF(AND('W&amp;S Balance Model'!$B$13&lt;=E24, IF(LEFT('W&amp;S Balance Model'!$B$11,7)="Rainfed", H24&lt;=450, TRUE)), "SUITABLE (Both Salt &amp; Water Met)", IF('W&amp;S Balance Model'!$B$13&lt;=E24, "SALT VIABLE ONLY (Water Restrained)", "UNSUITABLE (Too Salty)"))</f>
        <v>UNSUITABLE (Too Salty)</v>
      </c>
      <c r="M24" s="51"/>
      <c r="N24" s="52"/>
    </row>
    <row r="25" spans="1:14" ht="19.95" customHeight="1" x14ac:dyDescent="0.3">
      <c r="A25" s="3" t="str">
        <f>'Crop Database'!A7</f>
        <v>Date Palm</v>
      </c>
      <c r="B25" s="75" t="str">
        <f>'Crop Database'!B7</f>
        <v>Perennial Fruit</v>
      </c>
      <c r="C25" s="52"/>
      <c r="D25" s="4">
        <f>'Crop Database'!C7</f>
        <v>12</v>
      </c>
      <c r="E25" s="5">
        <f>'Crop Database'!H7</f>
        <v>39.799999999999997</v>
      </c>
      <c r="F25" s="9" t="str">
        <f>'Crop Database'!I7</f>
        <v>Oct</v>
      </c>
      <c r="G25" s="9">
        <f>'Crop Database'!J7</f>
        <v>12</v>
      </c>
      <c r="H25" s="76">
        <f>ROUND(SUM('Crop Database'!L7:W7) * 150, 0)</f>
        <v>1620</v>
      </c>
      <c r="I25" s="52"/>
      <c r="J25" s="74" t="str">
        <f t="shared" si="0"/>
        <v>HIGH WATER CONSUMER</v>
      </c>
      <c r="K25" s="52"/>
      <c r="L25" s="74" t="str">
        <f>IF(AND('W&amp;S Balance Model'!$B$13&lt;=E25, IF(LEFT('W&amp;S Balance Model'!$B$11,7)="Rainfed", H25&lt;=450, TRUE)), "SUITABLE (Both Salt &amp; Water Met)", IF('W&amp;S Balance Model'!$B$13&lt;=E25, "SALT VIABLE ONLY (Water Restrained)", "UNSUITABLE (Too Salty)"))</f>
        <v>SUITABLE (Both Salt &amp; Water Met)</v>
      </c>
      <c r="M25" s="51"/>
      <c r="N25" s="52"/>
    </row>
    <row r="26" spans="1:14" ht="19.95" customHeight="1" x14ac:dyDescent="0.3">
      <c r="A26" s="3" t="str">
        <f>'Crop Database'!A4</f>
        <v>Crop Species</v>
      </c>
      <c r="B26" s="75" t="str">
        <f>'Crop Database'!B4</f>
        <v>Category / Group</v>
      </c>
      <c r="C26" s="52"/>
      <c r="D26" s="4" t="str">
        <f>'Crop Database'!C4</f>
        <v>Threshold ECe (100% Yield)</v>
      </c>
      <c r="E26" s="5" t="str">
        <f>'Crop Database'!H4</f>
        <v>EC_max (0% Yield)</v>
      </c>
      <c r="F26" s="9" t="str">
        <f>'Crop Database'!I4</f>
        <v>Default Planting Month</v>
      </c>
      <c r="G26" s="9" t="str">
        <f>'Crop Database'!J4</f>
        <v>Growth Duration (Months)</v>
      </c>
      <c r="H26" s="76">
        <f>ROUND(SUM('Crop Database'!L4:W4) * 150, 0)</f>
        <v>0</v>
      </c>
      <c r="I26" s="52"/>
      <c r="J26" s="74" t="str">
        <f t="shared" si="0"/>
        <v>HIGH EFFICIENCY (Low Water Use)</v>
      </c>
      <c r="K26" s="52"/>
      <c r="L26" s="74" t="str">
        <f>IF(AND('W&amp;S Balance Model'!$B$13&lt;=E26, IF(LEFT('W&amp;S Balance Model'!$B$11,7)="Rainfed", H26&lt;=450, TRUE)), "SUITABLE (Both Salt &amp; Water Met)", IF('W&amp;S Balance Model'!$B$13&lt;=E26, "SALT VIABLE ONLY (Water Restrained)", "UNSUITABLE (Too Salty)"))</f>
        <v>SUITABLE (Both Salt &amp; Water Met)</v>
      </c>
      <c r="M26" s="51"/>
      <c r="N26" s="52"/>
    </row>
    <row r="27" spans="1:14" ht="19.95" customHeight="1" x14ac:dyDescent="0.3">
      <c r="A27" s="3">
        <f>'Crop Database'!A3</f>
        <v>0</v>
      </c>
      <c r="B27" s="75">
        <f>'Crop Database'!B3</f>
        <v>0</v>
      </c>
      <c r="C27" s="52"/>
      <c r="D27" s="4">
        <f>'Crop Database'!C3</f>
        <v>0</v>
      </c>
      <c r="E27" s="5">
        <f>'Crop Database'!H3</f>
        <v>0</v>
      </c>
      <c r="F27" s="9">
        <f>'Crop Database'!I3</f>
        <v>0</v>
      </c>
      <c r="G27" s="9">
        <f>'Crop Database'!J3</f>
        <v>0</v>
      </c>
      <c r="H27" s="76">
        <f>ROUND(SUM('Crop Database'!L3:W3) * 150, 0)</f>
        <v>0</v>
      </c>
      <c r="I27" s="52"/>
      <c r="J27" s="74" t="str">
        <f t="shared" si="0"/>
        <v>HIGH EFFICIENCY (Low Water Use)</v>
      </c>
      <c r="K27" s="52"/>
      <c r="L27" s="74" t="str">
        <f>IF(AND('W&amp;S Balance Model'!$B$13&lt;=E27, IF(LEFT('W&amp;S Balance Model'!$B$11,7)="Rainfed", H27&lt;=450, TRUE)), "SUITABLE (Both Salt &amp; Water Met)", IF('W&amp;S Balance Model'!$B$13&lt;=E27, "SALT VIABLE ONLY (Water Restrained)", "UNSUITABLE (Too Salty)"))</f>
        <v>UNSUITABLE (Too Salty)</v>
      </c>
      <c r="M27" s="51"/>
      <c r="N27" s="52"/>
    </row>
    <row r="28" spans="1:14" ht="19.95" customHeight="1" x14ac:dyDescent="0.3">
      <c r="A28" s="3" t="str">
        <f>'Crop Database'!A2</f>
        <v>Contains crop salinity threshold (ECe dS/m), yield loss slope (% per dS/m), yield loss salinity levels, default planting month, duration, and monthly crop factors (Kc).</v>
      </c>
      <c r="B28" s="75">
        <f>'Crop Database'!B2</f>
        <v>0</v>
      </c>
      <c r="C28" s="52"/>
      <c r="D28" s="4">
        <f>'Crop Database'!C2</f>
        <v>0</v>
      </c>
      <c r="E28" s="5">
        <f>'Crop Database'!H2</f>
        <v>0</v>
      </c>
      <c r="F28" s="9">
        <f>'Crop Database'!I2</f>
        <v>0</v>
      </c>
      <c r="G28" s="9">
        <f>'Crop Database'!J2</f>
        <v>0</v>
      </c>
      <c r="H28" s="76">
        <f>ROUND(SUM('Crop Database'!L2:W2) * 150, 0)</f>
        <v>0</v>
      </c>
      <c r="I28" s="52"/>
      <c r="J28" s="74" t="str">
        <f t="shared" si="0"/>
        <v>HIGH EFFICIENCY (Low Water Use)</v>
      </c>
      <c r="K28" s="52"/>
      <c r="L28" s="74" t="str">
        <f>IF(AND('W&amp;S Balance Model'!$B$13&lt;=E28, IF(LEFT('W&amp;S Balance Model'!$B$11,7)="Rainfed", H28&lt;=450, TRUE)), "SUITABLE (Both Salt &amp; Water Met)", IF('W&amp;S Balance Model'!$B$13&lt;=E28, "SALT VIABLE ONLY (Water Restrained)", "UNSUITABLE (Too Salty)"))</f>
        <v>UNSUITABLE (Too Salty)</v>
      </c>
      <c r="M28" s="51"/>
      <c r="N28" s="52"/>
    </row>
    <row r="29" spans="1:14" ht="19.95" customHeight="1" x14ac:dyDescent="0.3">
      <c r="A29" s="3" t="str">
        <f>'Crop Database'!A17</f>
        <v>Zucchini / Squash</v>
      </c>
      <c r="B29" s="75" t="str">
        <f>'Crop Database'!B17</f>
        <v>Vegetable</v>
      </c>
      <c r="C29" s="52"/>
      <c r="D29" s="4">
        <f>'Crop Database'!C17</f>
        <v>4.7</v>
      </c>
      <c r="E29" s="5">
        <f>'Crop Database'!H17</f>
        <v>10</v>
      </c>
      <c r="F29" s="9" t="str">
        <f>'Crop Database'!I17</f>
        <v>Apr</v>
      </c>
      <c r="G29" s="9">
        <f>'Crop Database'!J17</f>
        <v>4</v>
      </c>
      <c r="H29" s="76">
        <f>ROUND(SUM('Crop Database'!L17:W17) * 150, 0)</f>
        <v>443</v>
      </c>
      <c r="I29" s="52"/>
      <c r="J29" s="74" t="str">
        <f t="shared" si="0"/>
        <v>HIGH EFFICIENCY (Low Water Use)</v>
      </c>
      <c r="K29" s="52"/>
      <c r="L29" s="74" t="str">
        <f>IF(AND('W&amp;S Balance Model'!$B$13&lt;=E29, IF(LEFT('W&amp;S Balance Model'!$B$11,7)="Rainfed", H29&lt;=450, TRUE)), "SUITABLE (Both Salt &amp; Water Met)", IF('W&amp;S Balance Model'!$B$13&lt;=E29, "SALT VIABLE ONLY (Water Restrained)", "UNSUITABLE (Too Salty)"))</f>
        <v>SUITABLE (Both Salt &amp; Water Met)</v>
      </c>
      <c r="M29" s="51"/>
      <c r="N29" s="52"/>
    </row>
    <row r="30" spans="1:14" ht="19.95" customHeight="1" x14ac:dyDescent="0.3">
      <c r="A30" s="3" t="str">
        <f>'Crop Database'!A15</f>
        <v>Wheat</v>
      </c>
      <c r="B30" s="75" t="str">
        <f>'Crop Database'!B15</f>
        <v>Winter Grain</v>
      </c>
      <c r="C30" s="52"/>
      <c r="D30" s="4">
        <f>'Crop Database'!C15</f>
        <v>6</v>
      </c>
      <c r="E30" s="5">
        <f>'Crop Database'!H15</f>
        <v>20.100000000000001</v>
      </c>
      <c r="F30" s="9" t="str">
        <f>'Crop Database'!I15</f>
        <v>Oct</v>
      </c>
      <c r="G30" s="9">
        <f>'Crop Database'!J15</f>
        <v>7</v>
      </c>
      <c r="H30" s="76">
        <f>ROUND(SUM('Crop Database'!L15:W15) * 150, 0)</f>
        <v>660</v>
      </c>
      <c r="I30" s="52"/>
      <c r="J30" s="74" t="str">
        <f t="shared" si="0"/>
        <v>MODERATE CONSUMER</v>
      </c>
      <c r="K30" s="52"/>
      <c r="L30" s="74" t="str">
        <f>IF(AND('W&amp;S Balance Model'!$B$13&lt;=E30, IF(LEFT('W&amp;S Balance Model'!$B$11,7)="Rainfed", H30&lt;=450, TRUE)), "SUITABLE (Both Salt &amp; Water Met)", IF('W&amp;S Balance Model'!$B$13&lt;=E30, "SALT VIABLE ONLY (Water Restrained)", "UNSUITABLE (Too Salty)"))</f>
        <v>SUITABLE (Both Salt &amp; Water Met)</v>
      </c>
      <c r="M30" s="51"/>
      <c r="N30" s="52"/>
    </row>
    <row r="31" spans="1:14" ht="19.95" customHeight="1" x14ac:dyDescent="0.3">
      <c r="A31" s="3" t="str">
        <f>'Crop Database'!A23</f>
        <v>Potato</v>
      </c>
      <c r="B31" s="75" t="str">
        <f>'Crop Database'!B23</f>
        <v>Root Vegetable</v>
      </c>
      <c r="C31" s="52"/>
      <c r="D31" s="4">
        <f>'Crop Database'!C23</f>
        <v>1.7</v>
      </c>
      <c r="E31" s="5">
        <f>'Crop Database'!H23</f>
        <v>5.9</v>
      </c>
      <c r="F31" s="9" t="str">
        <f>'Crop Database'!I23</f>
        <v>Oct</v>
      </c>
      <c r="G31" s="9">
        <f>'Crop Database'!J23</f>
        <v>4</v>
      </c>
      <c r="H31" s="76">
        <f>ROUND(SUM('Crop Database'!L23:W23) * 150, 0)</f>
        <v>450</v>
      </c>
      <c r="I31" s="52"/>
      <c r="J31" s="74" t="str">
        <f t="shared" si="0"/>
        <v>HIGH EFFICIENCY (Low Water Use)</v>
      </c>
      <c r="K31" s="52"/>
      <c r="L31" s="74" t="str">
        <f>IF(AND('W&amp;S Balance Model'!$B$13&lt;=E31, IF(LEFT('W&amp;S Balance Model'!$B$11,7)="Rainfed", H31&lt;=450, TRUE)), "SUITABLE (Both Salt &amp; Water Met)", IF('W&amp;S Balance Model'!$B$13&lt;=E31, "SALT VIABLE ONLY (Water Restrained)", "UNSUITABLE (Too Salty)"))</f>
        <v>UNSUITABLE (Too Salty)</v>
      </c>
      <c r="M31" s="51"/>
      <c r="N31" s="52"/>
    </row>
    <row r="32" spans="1:14" ht="19.95" customHeight="1" x14ac:dyDescent="0.3">
      <c r="A32" s="3" t="str">
        <f>'Crop Database'!A22</f>
        <v>Cabbage</v>
      </c>
      <c r="B32" s="75" t="str">
        <f>'Crop Database'!B22</f>
        <v>Vegetable</v>
      </c>
      <c r="C32" s="52"/>
      <c r="D32" s="4">
        <f>'Crop Database'!C22</f>
        <v>1.8</v>
      </c>
      <c r="E32" s="5">
        <f>'Crop Database'!H22</f>
        <v>7</v>
      </c>
      <c r="F32" s="9" t="str">
        <f>'Crop Database'!I22</f>
        <v>Oct</v>
      </c>
      <c r="G32" s="9">
        <f>'Crop Database'!J22</f>
        <v>4</v>
      </c>
      <c r="H32" s="76">
        <f>ROUND(SUM('Crop Database'!L22:W22) * 150, 0)</f>
        <v>428</v>
      </c>
      <c r="I32" s="52"/>
      <c r="J32" s="74" t="str">
        <f t="shared" si="0"/>
        <v>HIGH EFFICIENCY (Low Water Use)</v>
      </c>
      <c r="K32" s="52"/>
      <c r="L32" s="74" t="str">
        <f>IF(AND('W&amp;S Balance Model'!$B$13&lt;=E32, IF(LEFT('W&amp;S Balance Model'!$B$11,7)="Rainfed", H32&lt;=450, TRUE)), "SUITABLE (Both Salt &amp; Water Met)", IF('W&amp;S Balance Model'!$B$13&lt;=E32, "SALT VIABLE ONLY (Water Restrained)", "UNSUITABLE (Too Salty)"))</f>
        <v>UNSUITABLE (Too Salty)</v>
      </c>
      <c r="M32" s="51"/>
      <c r="N32" s="52"/>
    </row>
    <row r="33" spans="1:14" ht="19.95" customHeight="1" x14ac:dyDescent="0.3">
      <c r="A33" s="3" t="str">
        <f>'Crop Database'!A30</f>
        <v>Garlic</v>
      </c>
      <c r="B33" s="75" t="str">
        <f>'Crop Database'!B30</f>
        <v>Bulb Vegetable</v>
      </c>
      <c r="C33" s="52"/>
      <c r="D33" s="4">
        <f>'Crop Database'!C30</f>
        <v>1.7</v>
      </c>
      <c r="E33" s="5">
        <f>'Crop Database'!H30</f>
        <v>4.8</v>
      </c>
      <c r="F33" s="9" t="str">
        <f>'Crop Database'!I30</f>
        <v>Oct</v>
      </c>
      <c r="G33" s="9">
        <f>'Crop Database'!J30</f>
        <v>6</v>
      </c>
      <c r="H33" s="76">
        <f>ROUND(SUM('Crop Database'!L30:W30) * 150, 0)</f>
        <v>600</v>
      </c>
      <c r="I33" s="52"/>
      <c r="J33" s="74" t="str">
        <f t="shared" si="0"/>
        <v>HIGH EFFICIENCY (Low Water Use)</v>
      </c>
      <c r="K33" s="52"/>
      <c r="L33" s="74" t="str">
        <f>IF(AND('W&amp;S Balance Model'!$B$13&lt;=E33, IF(LEFT('W&amp;S Balance Model'!$B$11,7)="Rainfed", H33&lt;=450, TRUE)), "SUITABLE (Both Salt &amp; Water Met)", IF('W&amp;S Balance Model'!$B$13&lt;=E33, "SALT VIABLE ONLY (Water Restrained)", "UNSUITABLE (Too Salty)"))</f>
        <v>UNSUITABLE (Too Salty)</v>
      </c>
      <c r="M33" s="51"/>
      <c r="N33" s="52"/>
    </row>
    <row r="35" spans="1:14" ht="22.2" customHeight="1" x14ac:dyDescent="0.3">
      <c r="A35" s="48" t="s">
        <v>78</v>
      </c>
      <c r="B35" s="49"/>
      <c r="C35" s="49"/>
      <c r="D35" s="49"/>
      <c r="E35" s="49"/>
      <c r="F35" s="49"/>
      <c r="G35" s="49"/>
      <c r="H35" s="49"/>
      <c r="I35" s="49"/>
      <c r="J35" s="49"/>
      <c r="K35" s="49"/>
      <c r="L35" s="49"/>
      <c r="M35" s="49"/>
      <c r="N35" s="49"/>
    </row>
    <row r="36" spans="1:14" ht="22.2" customHeight="1" x14ac:dyDescent="0.3">
      <c r="A36" s="56" t="s">
        <v>79</v>
      </c>
      <c r="B36" s="52"/>
      <c r="C36" s="56" t="s">
        <v>80</v>
      </c>
      <c r="D36" s="52"/>
      <c r="E36" s="56" t="s">
        <v>81</v>
      </c>
      <c r="F36" s="52"/>
      <c r="G36" s="56" t="s">
        <v>82</v>
      </c>
      <c r="H36" s="52"/>
      <c r="I36" s="1" t="s">
        <v>83</v>
      </c>
      <c r="J36" s="1" t="s">
        <v>84</v>
      </c>
      <c r="K36" s="1" t="s">
        <v>85</v>
      </c>
      <c r="L36" s="1" t="s">
        <v>86</v>
      </c>
      <c r="M36" s="56" t="s">
        <v>87</v>
      </c>
      <c r="N36" s="52"/>
    </row>
    <row r="37" spans="1:14" ht="19.95" customHeight="1" x14ac:dyDescent="0.3">
      <c r="A37" s="55" t="s">
        <v>88</v>
      </c>
      <c r="B37" s="52"/>
      <c r="C37" s="75" t="s">
        <v>89</v>
      </c>
      <c r="D37" s="52"/>
      <c r="E37" s="75" t="s">
        <v>90</v>
      </c>
      <c r="F37" s="52"/>
      <c r="G37" s="74" t="str">
        <f>'W&amp;S Balance Model'!$F$8</f>
        <v>Year 2</v>
      </c>
      <c r="H37" s="52"/>
      <c r="I37" s="4">
        <f>'W&amp;S Balance Model'!P39</f>
        <v>7.6570214245698969</v>
      </c>
      <c r="J37" s="4">
        <f>'W&amp;S Balance Model'!P63</f>
        <v>5.3927674886021579</v>
      </c>
      <c r="K37" s="5">
        <f>'W&amp;S Balance Model'!P93</f>
        <v>4.8564092333972511</v>
      </c>
      <c r="L37" s="5">
        <f>'W&amp;S Balance Model'!$F$16</f>
        <v>5</v>
      </c>
      <c r="M37" s="76">
        <f>SUM('W&amp;S Balance Model'!E29:P29)*10</f>
        <v>7110</v>
      </c>
      <c r="N37" s="52"/>
    </row>
    <row r="38" spans="1:14" ht="19.95" customHeight="1" x14ac:dyDescent="0.3">
      <c r="A38" s="55" t="s">
        <v>91</v>
      </c>
      <c r="B38" s="52"/>
      <c r="C38" s="75" t="s">
        <v>92</v>
      </c>
      <c r="D38" s="52"/>
      <c r="E38" s="75" t="s">
        <v>90</v>
      </c>
      <c r="F38" s="52"/>
      <c r="G38" s="74" t="s">
        <v>21</v>
      </c>
      <c r="H38" s="52"/>
      <c r="I38" s="4">
        <v>12.1</v>
      </c>
      <c r="J38" s="4">
        <v>6.2</v>
      </c>
      <c r="K38" s="5">
        <v>5.7</v>
      </c>
      <c r="L38" s="5">
        <v>5</v>
      </c>
      <c r="M38" s="76">
        <v>9500</v>
      </c>
      <c r="N38" s="52"/>
    </row>
    <row r="39" spans="1:14" ht="19.95" customHeight="1" x14ac:dyDescent="0.3">
      <c r="A39" s="55" t="s">
        <v>93</v>
      </c>
      <c r="B39" s="52"/>
      <c r="C39" s="75" t="s">
        <v>89</v>
      </c>
      <c r="D39" s="52"/>
      <c r="E39" s="75" t="s">
        <v>94</v>
      </c>
      <c r="F39" s="52"/>
      <c r="G39" s="74" t="s">
        <v>24</v>
      </c>
      <c r="H39" s="52"/>
      <c r="I39" s="4">
        <v>9.8000000000000007</v>
      </c>
      <c r="J39" s="4">
        <v>7.7</v>
      </c>
      <c r="K39" s="5">
        <v>7.1</v>
      </c>
      <c r="L39" s="5">
        <v>6.7</v>
      </c>
      <c r="M39" s="76">
        <v>8900</v>
      </c>
      <c r="N39" s="52"/>
    </row>
    <row r="40" spans="1:14" ht="19.95" customHeight="1" x14ac:dyDescent="0.3">
      <c r="A40" s="55" t="s">
        <v>95</v>
      </c>
      <c r="B40" s="52"/>
      <c r="C40" s="75" t="s">
        <v>89</v>
      </c>
      <c r="D40" s="52"/>
      <c r="E40" s="75" t="s">
        <v>96</v>
      </c>
      <c r="F40" s="52"/>
      <c r="G40" s="74" t="s">
        <v>25</v>
      </c>
      <c r="H40" s="52"/>
      <c r="I40" s="4">
        <v>14.6</v>
      </c>
      <c r="J40" s="4">
        <v>8.6999999999999993</v>
      </c>
      <c r="K40" s="5">
        <v>7.3</v>
      </c>
      <c r="L40" s="5">
        <v>7.4</v>
      </c>
      <c r="M40" s="76">
        <v>8500</v>
      </c>
      <c r="N40" s="52"/>
    </row>
    <row r="41" spans="1:14" ht="19.95" customHeight="1" x14ac:dyDescent="0.3">
      <c r="A41" s="55" t="s">
        <v>97</v>
      </c>
      <c r="B41" s="52"/>
      <c r="C41" s="75" t="s">
        <v>98</v>
      </c>
      <c r="D41" s="52"/>
      <c r="E41" s="75" t="s">
        <v>94</v>
      </c>
      <c r="F41" s="52"/>
      <c r="G41" s="74" t="s">
        <v>99</v>
      </c>
      <c r="H41" s="52"/>
      <c r="I41" s="4">
        <v>18</v>
      </c>
      <c r="J41" s="4">
        <v>18</v>
      </c>
      <c r="K41" s="5">
        <v>18</v>
      </c>
      <c r="L41" s="5">
        <v>18</v>
      </c>
      <c r="M41" s="76">
        <v>200</v>
      </c>
      <c r="N41" s="52"/>
    </row>
    <row r="42" spans="1:14" ht="19.95" customHeight="1" x14ac:dyDescent="0.3">
      <c r="A42" s="55" t="s">
        <v>100</v>
      </c>
      <c r="B42" s="52"/>
      <c r="C42" s="75" t="s">
        <v>89</v>
      </c>
      <c r="D42" s="52"/>
      <c r="E42" s="75" t="s">
        <v>90</v>
      </c>
      <c r="F42" s="52"/>
      <c r="G42" s="74" t="s">
        <v>20</v>
      </c>
      <c r="H42" s="52"/>
      <c r="I42" s="4">
        <v>8</v>
      </c>
      <c r="J42" s="4">
        <v>4.0999999999999996</v>
      </c>
      <c r="K42" s="5">
        <v>1.5</v>
      </c>
      <c r="L42" s="5">
        <v>1.5</v>
      </c>
      <c r="M42" s="76">
        <v>10700</v>
      </c>
      <c r="N42" s="52"/>
    </row>
  </sheetData>
  <mergeCells count="134">
    <mergeCell ref="G40:H40"/>
    <mergeCell ref="G5:J5"/>
    <mergeCell ref="H26:I26"/>
    <mergeCell ref="C42:D42"/>
    <mergeCell ref="L30:N30"/>
    <mergeCell ref="E42:F42"/>
    <mergeCell ref="G36:H36"/>
    <mergeCell ref="H18:N18"/>
    <mergeCell ref="L29:N29"/>
    <mergeCell ref="J30:K30"/>
    <mergeCell ref="M42:N42"/>
    <mergeCell ref="C39:D39"/>
    <mergeCell ref="A35:N35"/>
    <mergeCell ref="G42:H42"/>
    <mergeCell ref="A36:B36"/>
    <mergeCell ref="M39:N39"/>
    <mergeCell ref="E39:F39"/>
    <mergeCell ref="G39:H39"/>
    <mergeCell ref="G37:H37"/>
    <mergeCell ref="M40:N40"/>
    <mergeCell ref="M37:N37"/>
    <mergeCell ref="B28:C28"/>
    <mergeCell ref="H22:I22"/>
    <mergeCell ref="B9:C9"/>
    <mergeCell ref="H27:I27"/>
    <mergeCell ref="G6:J6"/>
    <mergeCell ref="L23:N23"/>
    <mergeCell ref="H31:I31"/>
    <mergeCell ref="K6:N6"/>
    <mergeCell ref="H21:I21"/>
    <mergeCell ref="J24:K24"/>
    <mergeCell ref="B17:C17"/>
    <mergeCell ref="D17:E17"/>
    <mergeCell ref="J26:K26"/>
    <mergeCell ref="L27:N27"/>
    <mergeCell ref="J25:K25"/>
    <mergeCell ref="D12:E12"/>
    <mergeCell ref="B30:C30"/>
    <mergeCell ref="A38:B38"/>
    <mergeCell ref="C40:D40"/>
    <mergeCell ref="A4:C4"/>
    <mergeCell ref="E40:F40"/>
    <mergeCell ref="A3:N3"/>
    <mergeCell ref="B29:C29"/>
    <mergeCell ref="D5:F5"/>
    <mergeCell ref="H28:I28"/>
    <mergeCell ref="G4:J4"/>
    <mergeCell ref="K4:N4"/>
    <mergeCell ref="D10:E10"/>
    <mergeCell ref="H12:N12"/>
    <mergeCell ref="D4:F4"/>
    <mergeCell ref="L22:N22"/>
    <mergeCell ref="B23:C23"/>
    <mergeCell ref="L31:N31"/>
    <mergeCell ref="H10:N10"/>
    <mergeCell ref="L21:N21"/>
    <mergeCell ref="D16:E16"/>
    <mergeCell ref="H32:I32"/>
    <mergeCell ref="H9:N9"/>
    <mergeCell ref="J32:K32"/>
    <mergeCell ref="B10:C10"/>
    <mergeCell ref="D18:E18"/>
    <mergeCell ref="M41:N41"/>
    <mergeCell ref="J22:K22"/>
    <mergeCell ref="D9:E9"/>
    <mergeCell ref="B15:C15"/>
    <mergeCell ref="D15:E15"/>
    <mergeCell ref="L28:N28"/>
    <mergeCell ref="H16:N16"/>
    <mergeCell ref="J29:K29"/>
    <mergeCell ref="K5:N5"/>
    <mergeCell ref="C38:D38"/>
    <mergeCell ref="A20:N20"/>
    <mergeCell ref="M38:N38"/>
    <mergeCell ref="E41:F41"/>
    <mergeCell ref="G41:H41"/>
    <mergeCell ref="D14:E14"/>
    <mergeCell ref="A40:B40"/>
    <mergeCell ref="D6:F6"/>
    <mergeCell ref="A41:B41"/>
    <mergeCell ref="C41:D41"/>
    <mergeCell ref="H15:N15"/>
    <mergeCell ref="B12:C12"/>
    <mergeCell ref="A8:N8"/>
    <mergeCell ref="A6:C6"/>
    <mergeCell ref="H11:N11"/>
    <mergeCell ref="A1:N1"/>
    <mergeCell ref="H25:I25"/>
    <mergeCell ref="E38:F38"/>
    <mergeCell ref="H14:N14"/>
    <mergeCell ref="A5:C5"/>
    <mergeCell ref="B11:C11"/>
    <mergeCell ref="G38:H38"/>
    <mergeCell ref="D11:E11"/>
    <mergeCell ref="A37:B37"/>
    <mergeCell ref="J27:K27"/>
    <mergeCell ref="H30:I30"/>
    <mergeCell ref="H29:I29"/>
    <mergeCell ref="H24:I24"/>
    <mergeCell ref="H33:I33"/>
    <mergeCell ref="C37:D37"/>
    <mergeCell ref="J33:K33"/>
    <mergeCell ref="E37:F37"/>
    <mergeCell ref="D13:E13"/>
    <mergeCell ref="B14:C14"/>
    <mergeCell ref="B13:C13"/>
    <mergeCell ref="H17:N17"/>
    <mergeCell ref="B16:C16"/>
    <mergeCell ref="B18:C18"/>
    <mergeCell ref="H13:N13"/>
    <mergeCell ref="A42:B42"/>
    <mergeCell ref="C36:D36"/>
    <mergeCell ref="M36:N36"/>
    <mergeCell ref="E36:F36"/>
    <mergeCell ref="J31:K31"/>
    <mergeCell ref="J21:K21"/>
    <mergeCell ref="B24:C24"/>
    <mergeCell ref="L32:N32"/>
    <mergeCell ref="B33:C33"/>
    <mergeCell ref="H23:I23"/>
    <mergeCell ref="B32:C32"/>
    <mergeCell ref="J23:K23"/>
    <mergeCell ref="B26:C26"/>
    <mergeCell ref="A39:B39"/>
    <mergeCell ref="L24:N24"/>
    <mergeCell ref="B25:C25"/>
    <mergeCell ref="L33:N33"/>
    <mergeCell ref="B22:C22"/>
    <mergeCell ref="J28:K28"/>
    <mergeCell ref="B31:C31"/>
    <mergeCell ref="B21:C21"/>
    <mergeCell ref="L25:N25"/>
    <mergeCell ref="B27:C27"/>
    <mergeCell ref="L26:N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C25" sqref="C25"/>
    </sheetView>
  </sheetViews>
  <sheetFormatPr defaultRowHeight="14.4" x14ac:dyDescent="0.3"/>
  <cols>
    <col min="1" max="1" width="32" customWidth="1"/>
    <col min="2" max="2" width="35" customWidth="1"/>
    <col min="3" max="3" width="28" customWidth="1"/>
    <col min="4" max="6" width="12" customWidth="1"/>
  </cols>
  <sheetData>
    <row r="1" spans="1:6" ht="40.200000000000003" customHeight="1" x14ac:dyDescent="0.3">
      <c r="A1" s="65" t="s">
        <v>101</v>
      </c>
      <c r="B1" s="49"/>
      <c r="C1" s="49"/>
      <c r="D1" s="49"/>
      <c r="E1" s="49"/>
      <c r="F1" s="49"/>
    </row>
    <row r="3" spans="1:6" ht="64.95" customHeight="1" x14ac:dyDescent="0.3">
      <c r="A3" s="77" t="s">
        <v>102</v>
      </c>
      <c r="B3" s="49"/>
      <c r="C3" s="49"/>
      <c r="D3" s="49"/>
      <c r="E3" s="49"/>
      <c r="F3" s="49"/>
    </row>
    <row r="5" spans="1:6" ht="24" customHeight="1" x14ac:dyDescent="0.3">
      <c r="A5" s="48" t="s">
        <v>103</v>
      </c>
      <c r="B5" s="49"/>
      <c r="C5" s="49"/>
      <c r="D5" s="49"/>
      <c r="E5" s="49"/>
      <c r="F5" s="49"/>
    </row>
    <row r="6" spans="1:6" ht="25.2" customHeight="1" x14ac:dyDescent="0.3">
      <c r="A6" s="10" t="s">
        <v>104</v>
      </c>
      <c r="B6" s="77" t="s">
        <v>105</v>
      </c>
      <c r="C6" s="49"/>
      <c r="D6" s="49"/>
      <c r="E6" s="49"/>
      <c r="F6" s="49"/>
    </row>
    <row r="7" spans="1:6" ht="25.2" customHeight="1" x14ac:dyDescent="0.3">
      <c r="A7" s="10" t="s">
        <v>106</v>
      </c>
      <c r="B7" s="77" t="s">
        <v>107</v>
      </c>
      <c r="C7" s="49"/>
      <c r="D7" s="49"/>
      <c r="E7" s="49"/>
      <c r="F7" s="49"/>
    </row>
    <row r="8" spans="1:6" ht="25.2" customHeight="1" x14ac:dyDescent="0.3">
      <c r="A8" s="10" t="s">
        <v>108</v>
      </c>
      <c r="B8" s="77" t="s">
        <v>109</v>
      </c>
      <c r="C8" s="49"/>
      <c r="D8" s="49"/>
      <c r="E8" s="49"/>
      <c r="F8" s="49"/>
    </row>
    <row r="9" spans="1:6" ht="25.2" customHeight="1" x14ac:dyDescent="0.3">
      <c r="A9" s="10" t="s">
        <v>110</v>
      </c>
      <c r="B9" s="77" t="s">
        <v>111</v>
      </c>
      <c r="C9" s="49"/>
      <c r="D9" s="49"/>
      <c r="E9" s="49"/>
      <c r="F9" s="49"/>
    </row>
    <row r="10" spans="1:6" ht="25.2" customHeight="1" x14ac:dyDescent="0.3">
      <c r="A10" s="10" t="s">
        <v>112</v>
      </c>
      <c r="B10" s="77" t="s">
        <v>113</v>
      </c>
      <c r="C10" s="49"/>
      <c r="D10" s="49"/>
      <c r="E10" s="49"/>
      <c r="F10" s="49"/>
    </row>
  </sheetData>
  <mergeCells count="8">
    <mergeCell ref="B7:F7"/>
    <mergeCell ref="B6:F6"/>
    <mergeCell ref="B10:F10"/>
    <mergeCell ref="A1:F1"/>
    <mergeCell ref="A5:F5"/>
    <mergeCell ref="B8:F8"/>
    <mergeCell ref="A3:F3"/>
    <mergeCell ref="B9:F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Dashboard</vt:lpstr>
      <vt:lpstr>Soil &amp; Climate Inputs</vt:lpstr>
      <vt:lpstr>W&amp;S Balance Model</vt:lpstr>
      <vt:lpstr>Crop Database</vt:lpstr>
      <vt:lpstr>Strategy &amp; Crop Advisor</vt:lpstr>
      <vt:lpstr>Overview &amp;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 Wessels</cp:lastModifiedBy>
  <dcterms:created xsi:type="dcterms:W3CDTF">2026-08-03T09:47:04Z</dcterms:created>
  <dcterms:modified xsi:type="dcterms:W3CDTF">2026-10-03T15:02:36Z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726d3b-6796-48f5-a53d-57abbe9f0891_Enabled">
    <vt:lpwstr>true</vt:lpwstr>
  </property>
  <property fmtid="{D5CDD505-2E9C-101B-9397-08002B2CF9AE}" pid="3" name="MSIP_Label_d2726d3b-6796-48f5-a53d-57abbe9f0891_SetDate">
    <vt:lpwstr>2026-08-03T09:53:35Z</vt:lpwstr>
  </property>
  <property fmtid="{D5CDD505-2E9C-101B-9397-08002B2CF9AE}" pid="4" name="MSIP_Label_d2726d3b-6796-48f5-a53d-57abbe9f0891_Method">
    <vt:lpwstr>Standard</vt:lpwstr>
  </property>
  <property fmtid="{D5CDD505-2E9C-101B-9397-08002B2CF9AE}" pid="5" name="MSIP_Label_d2726d3b-6796-48f5-a53d-57abbe9f0891_Name">
    <vt:lpwstr>Unclassified</vt:lpwstr>
  </property>
  <property fmtid="{D5CDD505-2E9C-101B-9397-08002B2CF9AE}" pid="6" name="MSIP_Label_d2726d3b-6796-48f5-a53d-57abbe9f0891_SiteId">
    <vt:lpwstr>4fc2f3aa-31c4-4dcb-b719-c6c16393e9d3</vt:lpwstr>
  </property>
  <property fmtid="{D5CDD505-2E9C-101B-9397-08002B2CF9AE}" pid="7" name="MSIP_Label_d2726d3b-6796-48f5-a53d-57abbe9f0891_ActionId">
    <vt:lpwstr>2f950960-8ebe-4308-a320-8420422a7232</vt:lpwstr>
  </property>
  <property fmtid="{D5CDD505-2E9C-101B-9397-08002B2CF9AE}" pid="8" name="MSIP_Label_d2726d3b-6796-48f5-a53d-57abbe9f0891_ContentBits">
    <vt:lpwstr>0</vt:lpwstr>
  </property>
  <property fmtid="{D5CDD505-2E9C-101B-9397-08002B2CF9AE}" pid="9" name="MSIP_Label_d2726d3b-6796-48f5-a53d-57abbe9f0891_Tag">
    <vt:lpwstr>10, 3, 0, 1</vt:lpwstr>
  </property>
</Properties>
</file>