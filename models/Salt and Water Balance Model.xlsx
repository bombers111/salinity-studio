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cugroup-my.sharepoint.com/personal/bwessels_pcugroup_com/Documents/Bureaublad/"/>
    </mc:Choice>
  </mc:AlternateContent>
  <xr:revisionPtr revIDLastSave="386" documentId="8_{D1E275FB-6F8C-434E-BEF4-9E5FC6F7B1C7}" xr6:coauthVersionLast="47" xr6:coauthVersionMax="47" xr10:uidLastSave="{277BAD50-F65E-42D6-A79D-A58C2AAD5657}"/>
  <bookViews>
    <workbookView xWindow="-30" yWindow="-16320" windowWidth="29040" windowHeight="15720" activeTab="1" xr2:uid="{BA0A1950-F6AC-4146-903E-045E055C0417}"/>
  </bookViews>
  <sheets>
    <sheet name="Explanation" sheetId="8" r:id="rId1"/>
    <sheet name="Balance (Optimized)" sheetId="7" r:id="rId2"/>
    <sheet name="Balance (Manual)" sheetId="9" r:id="rId3"/>
  </sheets>
  <definedNames>
    <definedName name="_xlnm.Print_Area" localSheetId="2">'Balance (Manual)'!$B$3:$Q$16</definedName>
    <definedName name="_xlnm.Print_Area" localSheetId="1">'Balance (Optimized)'!$B$3:$Q$16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9" l="1"/>
  <c r="D9" i="7" l="1"/>
  <c r="B52" i="9" l="1"/>
  <c r="D52" i="9" s="1"/>
  <c r="E52" i="9" s="1"/>
  <c r="F23" i="7"/>
  <c r="D9" i="9"/>
  <c r="E14" i="7"/>
  <c r="B52" i="7"/>
  <c r="D52" i="7" s="1"/>
  <c r="E52" i="7" s="1"/>
  <c r="E14" i="9"/>
  <c r="E15" i="9"/>
  <c r="F16" i="9"/>
  <c r="F17" i="9" s="1"/>
  <c r="G16" i="9"/>
  <c r="G20" i="9" s="1"/>
  <c r="H16" i="9"/>
  <c r="H17" i="9" s="1"/>
  <c r="I16" i="9"/>
  <c r="I17" i="9" s="1"/>
  <c r="J16" i="9"/>
  <c r="J20" i="9" s="1"/>
  <c r="K16" i="9"/>
  <c r="K20" i="9"/>
  <c r="L16" i="9"/>
  <c r="L17" i="9" s="1"/>
  <c r="M16" i="9"/>
  <c r="M17" i="9" s="1"/>
  <c r="N16" i="9"/>
  <c r="N17" i="9" s="1"/>
  <c r="O16" i="9"/>
  <c r="O17" i="9" s="1"/>
  <c r="P16" i="9"/>
  <c r="P17" i="9" s="1"/>
  <c r="Q16" i="9"/>
  <c r="Q20" i="9" s="1"/>
  <c r="Q17" i="9"/>
  <c r="E18" i="9"/>
  <c r="E19" i="9"/>
  <c r="F23" i="9"/>
  <c r="E15" i="7"/>
  <c r="F16" i="7"/>
  <c r="F18" i="7" s="1"/>
  <c r="F20" i="7" s="1"/>
  <c r="G16" i="7"/>
  <c r="G18" i="7" s="1"/>
  <c r="G20" i="7" s="1"/>
  <c r="H16" i="7"/>
  <c r="H17" i="7" s="1"/>
  <c r="I16" i="7"/>
  <c r="I18" i="7" s="1"/>
  <c r="I20" i="7" s="1"/>
  <c r="J16" i="7"/>
  <c r="J18" i="7" s="1"/>
  <c r="J20" i="7" s="1"/>
  <c r="K16" i="7"/>
  <c r="K18" i="7" s="1"/>
  <c r="K20" i="7" s="1"/>
  <c r="L16" i="7"/>
  <c r="L18" i="7" s="1"/>
  <c r="L20" i="7" s="1"/>
  <c r="M16" i="7"/>
  <c r="M18" i="7" s="1"/>
  <c r="M20" i="7" s="1"/>
  <c r="N16" i="7"/>
  <c r="N17" i="7" s="1"/>
  <c r="O16" i="7"/>
  <c r="O17" i="7" s="1"/>
  <c r="P16" i="7"/>
  <c r="P17" i="7" s="1"/>
  <c r="P18" i="7"/>
  <c r="P20" i="7" s="1"/>
  <c r="Q16" i="7"/>
  <c r="Q17" i="7" s="1"/>
  <c r="I20" i="9"/>
  <c r="E19" i="7"/>
  <c r="J17" i="9" l="1"/>
  <c r="H20" i="9"/>
  <c r="M20" i="9"/>
  <c r="L20" i="9"/>
  <c r="F52" i="9"/>
  <c r="G52" i="9" s="1"/>
  <c r="O20" i="9"/>
  <c r="G17" i="9"/>
  <c r="N20" i="9"/>
  <c r="P20" i="9"/>
  <c r="F20" i="9"/>
  <c r="E16" i="9"/>
  <c r="F52" i="7"/>
  <c r="G52" i="7" s="1"/>
  <c r="Q18" i="7"/>
  <c r="Q20" i="7" s="1"/>
  <c r="O18" i="7"/>
  <c r="O20" i="7" s="1"/>
  <c r="N18" i="7"/>
  <c r="N20" i="7" s="1"/>
  <c r="M17" i="7"/>
  <c r="H18" i="7"/>
  <c r="H20" i="7" s="1"/>
  <c r="G17" i="7"/>
  <c r="J17" i="7"/>
  <c r="F17" i="7"/>
  <c r="E16" i="7"/>
  <c r="L17" i="7"/>
  <c r="K17" i="7"/>
  <c r="I17" i="7"/>
  <c r="F24" i="7"/>
  <c r="F25" i="7" s="1"/>
  <c r="F26" i="7" s="1"/>
  <c r="I4" i="9" l="1"/>
  <c r="I6" i="9" s="1"/>
  <c r="I5" i="9"/>
  <c r="F24" i="9"/>
  <c r="E20" i="9"/>
  <c r="E20" i="7"/>
  <c r="E18" i="7"/>
  <c r="I5" i="7"/>
  <c r="I4" i="7"/>
  <c r="G23" i="7"/>
  <c r="F25" i="9" l="1"/>
  <c r="I6" i="7"/>
  <c r="G24" i="7"/>
  <c r="G25" i="7" s="1"/>
  <c r="G23" i="9" l="1"/>
  <c r="F26" i="9"/>
  <c r="G26" i="7"/>
  <c r="H23" i="7"/>
  <c r="H24" i="7" s="1"/>
  <c r="G24" i="9" l="1"/>
  <c r="H25" i="7"/>
  <c r="I23" i="7" s="1"/>
  <c r="G25" i="9" l="1"/>
  <c r="H26" i="7"/>
  <c r="I24" i="7"/>
  <c r="I25" i="7" s="1"/>
  <c r="J23" i="7" s="1"/>
  <c r="H23" i="9" l="1"/>
  <c r="G26" i="9"/>
  <c r="J24" i="7"/>
  <c r="J25" i="7" s="1"/>
  <c r="K23" i="7" s="1"/>
  <c r="I26" i="7"/>
  <c r="H24" i="9" l="1"/>
  <c r="K24" i="7"/>
  <c r="K25" i="7" s="1"/>
  <c r="J26" i="7"/>
  <c r="H25" i="9" l="1"/>
  <c r="L23" i="7"/>
  <c r="K26" i="7"/>
  <c r="I23" i="9" l="1"/>
  <c r="H26" i="9"/>
  <c r="L24" i="7"/>
  <c r="L25" i="7" s="1"/>
  <c r="I24" i="9" l="1"/>
  <c r="I25" i="9" s="1"/>
  <c r="M23" i="7"/>
  <c r="L26" i="7"/>
  <c r="J23" i="9" l="1"/>
  <c r="I26" i="9"/>
  <c r="M24" i="7"/>
  <c r="M25" i="7" s="1"/>
  <c r="J24" i="9" l="1"/>
  <c r="J25" i="9" s="1"/>
  <c r="N23" i="7"/>
  <c r="M26" i="7"/>
  <c r="K23" i="9" l="1"/>
  <c r="J26" i="9"/>
  <c r="N24" i="7"/>
  <c r="N25" i="7" s="1"/>
  <c r="K24" i="9" l="1"/>
  <c r="K25" i="9" s="1"/>
  <c r="O23" i="7"/>
  <c r="N26" i="7"/>
  <c r="L23" i="9" l="1"/>
  <c r="K26" i="9"/>
  <c r="O24" i="7"/>
  <c r="O25" i="7" s="1"/>
  <c r="L24" i="9" l="1"/>
  <c r="L25" i="9" s="1"/>
  <c r="P23" i="7"/>
  <c r="O26" i="7"/>
  <c r="M23" i="9" l="1"/>
  <c r="M24" i="9" s="1"/>
  <c r="L26" i="9"/>
  <c r="P24" i="7"/>
  <c r="P25" i="7" s="1"/>
  <c r="M25" i="9" l="1"/>
  <c r="N23" i="9" s="1"/>
  <c r="N24" i="9" s="1"/>
  <c r="N25" i="9" s="1"/>
  <c r="Q23" i="7"/>
  <c r="P26" i="7"/>
  <c r="M26" i="9" l="1"/>
  <c r="O23" i="9"/>
  <c r="N26" i="9"/>
  <c r="Q24" i="7"/>
  <c r="E24" i="7" s="1"/>
  <c r="O24" i="9" l="1"/>
  <c r="O25" i="9" s="1"/>
  <c r="Q25" i="7"/>
  <c r="F27" i="7" s="1"/>
  <c r="F28" i="7" s="1"/>
  <c r="F29" i="7" s="1"/>
  <c r="G27" i="7" s="1"/>
  <c r="P23" i="9" l="1"/>
  <c r="O26" i="9"/>
  <c r="Q26" i="7"/>
  <c r="G28" i="7"/>
  <c r="G29" i="7" s="1"/>
  <c r="F30" i="7"/>
  <c r="P24" i="9" l="1"/>
  <c r="P25" i="9" s="1"/>
  <c r="D53" i="7"/>
  <c r="F53" i="7"/>
  <c r="E26" i="7"/>
  <c r="B53" i="7" s="1"/>
  <c r="H27" i="7"/>
  <c r="G30" i="7"/>
  <c r="Q23" i="9" l="1"/>
  <c r="P26" i="9"/>
  <c r="G53" i="7"/>
  <c r="E53" i="7"/>
  <c r="H28" i="7"/>
  <c r="H29" i="7" s="1"/>
  <c r="Q24" i="9" l="1"/>
  <c r="E24" i="9" s="1"/>
  <c r="I27" i="7"/>
  <c r="H30" i="7"/>
  <c r="Q25" i="9" l="1"/>
  <c r="I28" i="7"/>
  <c r="F27" i="9" l="1"/>
  <c r="Q26" i="9"/>
  <c r="I29" i="7"/>
  <c r="F53" i="9" l="1"/>
  <c r="D53" i="9"/>
  <c r="E26" i="9"/>
  <c r="B53" i="9" s="1"/>
  <c r="F28" i="9"/>
  <c r="F29" i="9" s="1"/>
  <c r="G27" i="9" s="1"/>
  <c r="J27" i="7"/>
  <c r="I30" i="7"/>
  <c r="G53" i="9" l="1"/>
  <c r="E53" i="9"/>
  <c r="G28" i="9"/>
  <c r="G29" i="9" s="1"/>
  <c r="H27" i="9" s="1"/>
  <c r="F30" i="9"/>
  <c r="J28" i="7"/>
  <c r="J29" i="7" s="1"/>
  <c r="H28" i="9" l="1"/>
  <c r="G30" i="9"/>
  <c r="K27" i="7"/>
  <c r="J30" i="7"/>
  <c r="H29" i="9" l="1"/>
  <c r="K28" i="7"/>
  <c r="K29" i="7" s="1"/>
  <c r="I27" i="9" l="1"/>
  <c r="H30" i="9"/>
  <c r="L27" i="7"/>
  <c r="K30" i="7"/>
  <c r="I28" i="9" l="1"/>
  <c r="I29" i="9" s="1"/>
  <c r="L28" i="7"/>
  <c r="L29" i="7" s="1"/>
  <c r="M27" i="7" s="1"/>
  <c r="J27" i="9" l="1"/>
  <c r="I30" i="9"/>
  <c r="M28" i="7"/>
  <c r="M29" i="7" s="1"/>
  <c r="N27" i="7" s="1"/>
  <c r="L30" i="7"/>
  <c r="J28" i="9" l="1"/>
  <c r="J29" i="9" s="1"/>
  <c r="N28" i="7"/>
  <c r="N29" i="7" s="1"/>
  <c r="M30" i="7"/>
  <c r="K27" i="9" l="1"/>
  <c r="J30" i="9"/>
  <c r="O27" i="7"/>
  <c r="N30" i="7"/>
  <c r="K28" i="9" l="1"/>
  <c r="K29" i="9" s="1"/>
  <c r="O28" i="7"/>
  <c r="O29" i="7" s="1"/>
  <c r="L27" i="9" l="1"/>
  <c r="K30" i="9"/>
  <c r="P27" i="7"/>
  <c r="O30" i="7"/>
  <c r="L28" i="9" l="1"/>
  <c r="L29" i="9" s="1"/>
  <c r="P28" i="7"/>
  <c r="P29" i="7" s="1"/>
  <c r="M27" i="9" l="1"/>
  <c r="L30" i="9"/>
  <c r="Q27" i="7"/>
  <c r="P30" i="7"/>
  <c r="M28" i="9" l="1"/>
  <c r="M29" i="9" s="1"/>
  <c r="Q28" i="7"/>
  <c r="E28" i="7" s="1"/>
  <c r="F45" i="7" s="1"/>
  <c r="N27" i="9" l="1"/>
  <c r="M30" i="9"/>
  <c r="Q29" i="7"/>
  <c r="F31" i="7" s="1"/>
  <c r="F46" i="7"/>
  <c r="F47" i="7" s="1"/>
  <c r="N28" i="9" l="1"/>
  <c r="N29" i="9" s="1"/>
  <c r="Q30" i="7"/>
  <c r="I8" i="7"/>
  <c r="G45" i="7"/>
  <c r="G46" i="7" s="1"/>
  <c r="G47" i="7" s="1"/>
  <c r="H45" i="7" s="1"/>
  <c r="F48" i="7"/>
  <c r="F32" i="7"/>
  <c r="O27" i="9" l="1"/>
  <c r="N30" i="9"/>
  <c r="E30" i="7"/>
  <c r="B54" i="7" s="1"/>
  <c r="D54" i="7"/>
  <c r="F54" i="7"/>
  <c r="F33" i="7"/>
  <c r="G48" i="7"/>
  <c r="H46" i="7"/>
  <c r="H47" i="7" s="1"/>
  <c r="O28" i="9" l="1"/>
  <c r="O29" i="9" s="1"/>
  <c r="E54" i="7"/>
  <c r="G54" i="7"/>
  <c r="I45" i="7"/>
  <c r="H48" i="7"/>
  <c r="G31" i="7"/>
  <c r="F34" i="7"/>
  <c r="P27" i="9" l="1"/>
  <c r="O30" i="9"/>
  <c r="G32" i="7"/>
  <c r="G33" i="7" s="1"/>
  <c r="H31" i="7" s="1"/>
  <c r="I46" i="7"/>
  <c r="I47" i="7" s="1"/>
  <c r="J45" i="7" s="1"/>
  <c r="P28" i="9" l="1"/>
  <c r="P29" i="9" s="1"/>
  <c r="Q27" i="9" s="1"/>
  <c r="I48" i="7"/>
  <c r="J46" i="7"/>
  <c r="J47" i="7" s="1"/>
  <c r="K45" i="7" s="1"/>
  <c r="H32" i="7"/>
  <c r="H33" i="7" s="1"/>
  <c r="I31" i="7" s="1"/>
  <c r="G34" i="7"/>
  <c r="Q28" i="9" l="1"/>
  <c r="E28" i="9" s="1"/>
  <c r="F45" i="9" s="1"/>
  <c r="P30" i="9"/>
  <c r="J48" i="7"/>
  <c r="I32" i="7"/>
  <c r="I33" i="7" s="1"/>
  <c r="H34" i="7"/>
  <c r="K46" i="7"/>
  <c r="K47" i="7" s="1"/>
  <c r="L45" i="7" s="1"/>
  <c r="F46" i="9" l="1"/>
  <c r="Q29" i="9"/>
  <c r="J31" i="7"/>
  <c r="I34" i="7"/>
  <c r="L46" i="7"/>
  <c r="L47" i="7" s="1"/>
  <c r="M45" i="7" s="1"/>
  <c r="K48" i="7"/>
  <c r="F31" i="9" l="1"/>
  <c r="I8" i="9"/>
  <c r="Q30" i="9"/>
  <c r="F47" i="9"/>
  <c r="L48" i="7"/>
  <c r="M46" i="7"/>
  <c r="M47" i="7" s="1"/>
  <c r="N45" i="7" s="1"/>
  <c r="J32" i="7"/>
  <c r="J33" i="7" s="1"/>
  <c r="K31" i="7" s="1"/>
  <c r="F54" i="9" l="1"/>
  <c r="D54" i="9"/>
  <c r="G45" i="9"/>
  <c r="F48" i="9"/>
  <c r="E30" i="9"/>
  <c r="B54" i="9" s="1"/>
  <c r="F32" i="9"/>
  <c r="M48" i="7"/>
  <c r="K32" i="7"/>
  <c r="K33" i="7" s="1"/>
  <c r="J34" i="7"/>
  <c r="N46" i="7"/>
  <c r="N47" i="7" s="1"/>
  <c r="G54" i="9" l="1"/>
  <c r="E54" i="9"/>
  <c r="F33" i="9"/>
  <c r="G46" i="9"/>
  <c r="O45" i="7"/>
  <c r="O46" i="7" s="1"/>
  <c r="O47" i="7" s="1"/>
  <c r="P45" i="7" s="1"/>
  <c r="N48" i="7"/>
  <c r="L31" i="7"/>
  <c r="K34" i="7"/>
  <c r="G31" i="9" l="1"/>
  <c r="F34" i="9"/>
  <c r="G47" i="9"/>
  <c r="O48" i="7"/>
  <c r="P46" i="7"/>
  <c r="P47" i="7" s="1"/>
  <c r="Q45" i="7" s="1"/>
  <c r="L32" i="7"/>
  <c r="L33" i="7" s="1"/>
  <c r="H45" i="9" l="1"/>
  <c r="G48" i="9"/>
  <c r="G32" i="9"/>
  <c r="P48" i="7"/>
  <c r="M31" i="7"/>
  <c r="L34" i="7"/>
  <c r="Q46" i="7"/>
  <c r="E46" i="7" s="1"/>
  <c r="H46" i="9" l="1"/>
  <c r="G33" i="9"/>
  <c r="Q47" i="7"/>
  <c r="Q48" i="7" s="1"/>
  <c r="M32" i="7"/>
  <c r="M33" i="7" s="1"/>
  <c r="N31" i="7" s="1"/>
  <c r="H31" i="9" l="1"/>
  <c r="G34" i="9"/>
  <c r="H47" i="9"/>
  <c r="F58" i="7"/>
  <c r="D58" i="7"/>
  <c r="E48" i="7"/>
  <c r="B58" i="7" s="1"/>
  <c r="N32" i="7"/>
  <c r="N33" i="7" s="1"/>
  <c r="M34" i="7"/>
  <c r="H32" i="9" l="1"/>
  <c r="I45" i="9"/>
  <c r="H48" i="9"/>
  <c r="G58" i="7"/>
  <c r="E58" i="7"/>
  <c r="O31" i="7"/>
  <c r="N34" i="7"/>
  <c r="I46" i="9" l="1"/>
  <c r="I47" i="9" s="1"/>
  <c r="J45" i="9" s="1"/>
  <c r="H33" i="9"/>
  <c r="O32" i="7"/>
  <c r="O33" i="7" s="1"/>
  <c r="I31" i="9" l="1"/>
  <c r="H34" i="9"/>
  <c r="I48" i="9"/>
  <c r="J46" i="9"/>
  <c r="J47" i="9" s="1"/>
  <c r="P31" i="7"/>
  <c r="P32" i="7" s="1"/>
  <c r="O34" i="7"/>
  <c r="K45" i="9" l="1"/>
  <c r="J48" i="9"/>
  <c r="I32" i="9"/>
  <c r="I33" i="9" s="1"/>
  <c r="J31" i="9" s="1"/>
  <c r="P33" i="7"/>
  <c r="Q31" i="7" s="1"/>
  <c r="Q32" i="7" s="1"/>
  <c r="E32" i="7" s="1"/>
  <c r="J32" i="9" l="1"/>
  <c r="J33" i="9" s="1"/>
  <c r="I34" i="9"/>
  <c r="K46" i="9"/>
  <c r="K47" i="9" s="1"/>
  <c r="P34" i="7"/>
  <c r="Q33" i="7"/>
  <c r="L45" i="9" l="1"/>
  <c r="K48" i="9"/>
  <c r="K31" i="9"/>
  <c r="J34" i="9"/>
  <c r="F35" i="7"/>
  <c r="Q34" i="7"/>
  <c r="K32" i="9" l="1"/>
  <c r="K33" i="9" s="1"/>
  <c r="L46" i="9"/>
  <c r="L47" i="9" s="1"/>
  <c r="D55" i="7"/>
  <c r="F55" i="7"/>
  <c r="E34" i="7"/>
  <c r="B55" i="7" s="1"/>
  <c r="F36" i="7"/>
  <c r="M45" i="9" l="1"/>
  <c r="L48" i="9"/>
  <c r="L31" i="9"/>
  <c r="K34" i="9"/>
  <c r="G55" i="7"/>
  <c r="E55" i="7"/>
  <c r="F37" i="7"/>
  <c r="L32" i="9" l="1"/>
  <c r="L33" i="9" s="1"/>
  <c r="M46" i="9"/>
  <c r="M47" i="9" s="1"/>
  <c r="G35" i="7"/>
  <c r="F38" i="7"/>
  <c r="M31" i="9" l="1"/>
  <c r="M32" i="9" s="1"/>
  <c r="M33" i="9" s="1"/>
  <c r="L34" i="9"/>
  <c r="N45" i="9"/>
  <c r="M48" i="9"/>
  <c r="G36" i="7"/>
  <c r="G37" i="7" s="1"/>
  <c r="N31" i="9" l="1"/>
  <c r="M34" i="9"/>
  <c r="N46" i="9"/>
  <c r="N47" i="9" s="1"/>
  <c r="H35" i="7"/>
  <c r="G38" i="7"/>
  <c r="O45" i="9" l="1"/>
  <c r="N48" i="9"/>
  <c r="N32" i="9"/>
  <c r="N33" i="9" s="1"/>
  <c r="H36" i="7"/>
  <c r="H37" i="7" s="1"/>
  <c r="I35" i="7" s="1"/>
  <c r="O31" i="9" l="1"/>
  <c r="N34" i="9"/>
  <c r="O46" i="9"/>
  <c r="O47" i="9" s="1"/>
  <c r="I36" i="7"/>
  <c r="I37" i="7" s="1"/>
  <c r="J35" i="7" s="1"/>
  <c r="H38" i="7"/>
  <c r="P45" i="9" l="1"/>
  <c r="O48" i="9"/>
  <c r="O32" i="9"/>
  <c r="O33" i="9" s="1"/>
  <c r="J36" i="7"/>
  <c r="J37" i="7" s="1"/>
  <c r="K35" i="7" s="1"/>
  <c r="I38" i="7"/>
  <c r="P31" i="9" l="1"/>
  <c r="O34" i="9"/>
  <c r="P46" i="9"/>
  <c r="P47" i="9" s="1"/>
  <c r="K36" i="7"/>
  <c r="K37" i="7" s="1"/>
  <c r="J38" i="7"/>
  <c r="Q45" i="9" l="1"/>
  <c r="P48" i="9"/>
  <c r="P32" i="9"/>
  <c r="P33" i="9" s="1"/>
  <c r="L35" i="7"/>
  <c r="K38" i="7"/>
  <c r="Q31" i="9" l="1"/>
  <c r="P34" i="9"/>
  <c r="Q46" i="9"/>
  <c r="E46" i="9" s="1"/>
  <c r="L36" i="7"/>
  <c r="L37" i="7" s="1"/>
  <c r="M35" i="7" s="1"/>
  <c r="Q47" i="9" l="1"/>
  <c r="Q48" i="9" s="1"/>
  <c r="E48" i="9" s="1"/>
  <c r="B58" i="9" s="1"/>
  <c r="Q32" i="9"/>
  <c r="E32" i="9" s="1"/>
  <c r="M36" i="7"/>
  <c r="M37" i="7" s="1"/>
  <c r="L38" i="7"/>
  <c r="D58" i="9" l="1"/>
  <c r="F58" i="9"/>
  <c r="G58" i="9" s="1"/>
  <c r="E58" i="9"/>
  <c r="Q33" i="9"/>
  <c r="N35" i="7"/>
  <c r="M38" i="7"/>
  <c r="F35" i="9" l="1"/>
  <c r="Q34" i="9"/>
  <c r="N36" i="7"/>
  <c r="N37" i="7" s="1"/>
  <c r="O35" i="7" s="1"/>
  <c r="F55" i="9" l="1"/>
  <c r="D55" i="9"/>
  <c r="E34" i="9"/>
  <c r="B55" i="9" s="1"/>
  <c r="F36" i="9"/>
  <c r="O36" i="7"/>
  <c r="O37" i="7" s="1"/>
  <c r="P35" i="7" s="1"/>
  <c r="N38" i="7"/>
  <c r="E55" i="9" l="1"/>
  <c r="G55" i="9"/>
  <c r="F37" i="9"/>
  <c r="P36" i="7"/>
  <c r="P37" i="7" s="1"/>
  <c r="Q35" i="7" s="1"/>
  <c r="O38" i="7"/>
  <c r="G35" i="9" l="1"/>
  <c r="F38" i="9"/>
  <c r="Q36" i="7"/>
  <c r="E36" i="7" s="1"/>
  <c r="P38" i="7"/>
  <c r="G36" i="9" l="1"/>
  <c r="G37" i="9" s="1"/>
  <c r="Q37" i="7"/>
  <c r="H35" i="9" l="1"/>
  <c r="G38" i="9"/>
  <c r="F39" i="7"/>
  <c r="Q38" i="7"/>
  <c r="H36" i="9" l="1"/>
  <c r="H37" i="9" s="1"/>
  <c r="D56" i="7"/>
  <c r="F56" i="7"/>
  <c r="E38" i="7"/>
  <c r="B56" i="7" s="1"/>
  <c r="F40" i="7"/>
  <c r="F41" i="7" s="1"/>
  <c r="I35" i="9" l="1"/>
  <c r="H38" i="9"/>
  <c r="G56" i="7"/>
  <c r="E56" i="7"/>
  <c r="G39" i="7"/>
  <c r="G40" i="7" s="1"/>
  <c r="G41" i="7" s="1"/>
  <c r="F42" i="7"/>
  <c r="I36" i="9" l="1"/>
  <c r="I37" i="9" s="1"/>
  <c r="H39" i="7"/>
  <c r="G42" i="7"/>
  <c r="J35" i="9" l="1"/>
  <c r="I38" i="9"/>
  <c r="H40" i="7"/>
  <c r="H41" i="7" s="1"/>
  <c r="I39" i="7" s="1"/>
  <c r="J36" i="9" l="1"/>
  <c r="J37" i="9" s="1"/>
  <c r="I40" i="7"/>
  <c r="I41" i="7" s="1"/>
  <c r="H42" i="7"/>
  <c r="K35" i="9" l="1"/>
  <c r="J38" i="9"/>
  <c r="J39" i="7"/>
  <c r="I42" i="7"/>
  <c r="K36" i="9" l="1"/>
  <c r="K37" i="9" s="1"/>
  <c r="J40" i="7"/>
  <c r="J41" i="7" s="1"/>
  <c r="L35" i="9" l="1"/>
  <c r="K38" i="9"/>
  <c r="K39" i="7"/>
  <c r="K40" i="7" s="1"/>
  <c r="K41" i="7" s="1"/>
  <c r="L39" i="7" s="1"/>
  <c r="J42" i="7"/>
  <c r="L36" i="9" l="1"/>
  <c r="L37" i="9" s="1"/>
  <c r="L40" i="7"/>
  <c r="L41" i="7" s="1"/>
  <c r="M39" i="7" s="1"/>
  <c r="K42" i="7"/>
  <c r="M35" i="9" l="1"/>
  <c r="L38" i="9"/>
  <c r="M40" i="7"/>
  <c r="M41" i="7" s="1"/>
  <c r="L42" i="7"/>
  <c r="M36" i="9" l="1"/>
  <c r="M37" i="9" s="1"/>
  <c r="N35" i="9" s="1"/>
  <c r="N39" i="7"/>
  <c r="N40" i="7" s="1"/>
  <c r="N41" i="7" s="1"/>
  <c r="M42" i="7"/>
  <c r="N36" i="9" l="1"/>
  <c r="N37" i="9" s="1"/>
  <c r="M38" i="9"/>
  <c r="O39" i="7"/>
  <c r="O40" i="7" s="1"/>
  <c r="N42" i="7"/>
  <c r="O35" i="9" l="1"/>
  <c r="N38" i="9"/>
  <c r="O41" i="7"/>
  <c r="P39" i="7" s="1"/>
  <c r="P40" i="7" s="1"/>
  <c r="P41" i="7" s="1"/>
  <c r="O36" i="9" l="1"/>
  <c r="O37" i="9" s="1"/>
  <c r="Q39" i="7"/>
  <c r="Q40" i="7" s="1"/>
  <c r="P42" i="7"/>
  <c r="O42" i="7"/>
  <c r="P35" i="9" l="1"/>
  <c r="O38" i="9"/>
  <c r="E40" i="7"/>
  <c r="Q41" i="7"/>
  <c r="Q42" i="7" s="1"/>
  <c r="E42" i="7" s="1"/>
  <c r="B57" i="7" s="1"/>
  <c r="P36" i="9" l="1"/>
  <c r="P37" i="9" s="1"/>
  <c r="I7" i="7"/>
  <c r="I9" i="7"/>
  <c r="F57" i="7"/>
  <c r="G57" i="7" s="1"/>
  <c r="D57" i="7"/>
  <c r="E57" i="7" s="1"/>
  <c r="Q35" i="9" l="1"/>
  <c r="P38" i="9"/>
  <c r="Q36" i="9" l="1"/>
  <c r="E36" i="9" s="1"/>
  <c r="Q37" i="9" l="1"/>
  <c r="F39" i="9" l="1"/>
  <c r="Q38" i="9"/>
  <c r="F56" i="9" l="1"/>
  <c r="D56" i="9"/>
  <c r="E38" i="9"/>
  <c r="B56" i="9" s="1"/>
  <c r="F40" i="9"/>
  <c r="G56" i="9" l="1"/>
  <c r="E56" i="9"/>
  <c r="F41" i="9"/>
  <c r="G39" i="9" l="1"/>
  <c r="F42" i="9"/>
  <c r="G40" i="9" l="1"/>
  <c r="G41" i="9" l="1"/>
  <c r="H39" i="9" l="1"/>
  <c r="G42" i="9"/>
  <c r="H40" i="9" l="1"/>
  <c r="H41" i="9" l="1"/>
  <c r="I39" i="9" l="1"/>
  <c r="H42" i="9"/>
  <c r="I40" i="9" l="1"/>
  <c r="I41" i="9" s="1"/>
  <c r="J39" i="9" l="1"/>
  <c r="I42" i="9"/>
  <c r="J40" i="9" l="1"/>
  <c r="J41" i="9" s="1"/>
  <c r="K39" i="9" l="1"/>
  <c r="J42" i="9"/>
  <c r="K40" i="9" l="1"/>
  <c r="K41" i="9" s="1"/>
  <c r="L39" i="9" l="1"/>
  <c r="K42" i="9"/>
  <c r="L40" i="9" l="1"/>
  <c r="L41" i="9" s="1"/>
  <c r="M39" i="9" s="1"/>
  <c r="M40" i="9" l="1"/>
  <c r="M41" i="9" s="1"/>
  <c r="L42" i="9"/>
  <c r="N39" i="9" l="1"/>
  <c r="M42" i="9"/>
  <c r="N40" i="9" l="1"/>
  <c r="N41" i="9" s="1"/>
  <c r="O39" i="9" l="1"/>
  <c r="N42" i="9"/>
  <c r="O40" i="9" l="1"/>
  <c r="O41" i="9" s="1"/>
  <c r="P39" i="9" l="1"/>
  <c r="O42" i="9"/>
  <c r="P40" i="9" l="1"/>
  <c r="P41" i="9" s="1"/>
  <c r="Q39" i="9" l="1"/>
  <c r="P42" i="9"/>
  <c r="Q40" i="9" l="1"/>
  <c r="E40" i="9" s="1"/>
  <c r="Q41" i="9" l="1"/>
  <c r="Q42" i="9" s="1"/>
  <c r="F57" i="9" l="1"/>
  <c r="D57" i="9"/>
  <c r="I7" i="9"/>
  <c r="I9" i="9"/>
  <c r="E42" i="9"/>
  <c r="B57" i="9" s="1"/>
  <c r="G57" i="9" l="1"/>
  <c r="E57" i="9"/>
</calcChain>
</file>

<file path=xl/sharedStrings.xml><?xml version="1.0" encoding="utf-8"?>
<sst xmlns="http://schemas.openxmlformats.org/spreadsheetml/2006/main" count="341" uniqueCount="138">
  <si>
    <t>Parameter</t>
  </si>
  <si>
    <t>Short English Definition</t>
  </si>
  <si>
    <t>Formula (PDF / ILRI)</t>
  </si>
  <si>
    <t>Field Data Source</t>
  </si>
  <si>
    <t>Wfc</t>
  </si>
  <si>
    <t>Wfc = theta_fc * D</t>
  </si>
  <si>
    <t>ECe_avg</t>
  </si>
  <si>
    <t>Crop tolerance threshold</t>
  </si>
  <si>
    <t>FAO-56 / Maas &amp; Hoffman crop tolerance tables</t>
  </si>
  <si>
    <t>EC_max</t>
  </si>
  <si>
    <t>Crop stress threshold</t>
  </si>
  <si>
    <t>E</t>
  </si>
  <si>
    <t>E = ETo * Kc</t>
  </si>
  <si>
    <t>P</t>
  </si>
  <si>
    <t>Direct measurement</t>
  </si>
  <si>
    <t>E - P</t>
  </si>
  <si>
    <t>ECi</t>
  </si>
  <si>
    <t>Water sampling with EC meter (0 for rainwater)</t>
  </si>
  <si>
    <t>I</t>
  </si>
  <si>
    <t>dW</t>
  </si>
  <si>
    <t>Monthly change in soil moisture storage within the rootzone (mm/month).</t>
  </si>
  <si>
    <t>dW = W_end - W_start</t>
  </si>
  <si>
    <t>R*</t>
  </si>
  <si>
    <t>Calculated water balance surplus</t>
  </si>
  <si>
    <t>Z1</t>
  </si>
  <si>
    <t>dZ</t>
  </si>
  <si>
    <t>dZ = (I*ECi - (R**Z1)/Wfc) / (1 + R*/(2*Wfc))</t>
  </si>
  <si>
    <t>ILRI Salt Storage Equation (Eq. 15.24)</t>
  </si>
  <si>
    <t>Z2</t>
  </si>
  <si>
    <t>Z2 = Z1 + dZ</t>
  </si>
  <si>
    <t>ECe</t>
  </si>
  <si>
    <t>Calculated soil salinity output</t>
  </si>
  <si>
    <t>Salt and Water Balance</t>
  </si>
  <si>
    <t>Soil &amp; Crop Data</t>
  </si>
  <si>
    <t>mm</t>
  </si>
  <si>
    <t>Model predictions</t>
  </si>
  <si>
    <t>Total Irrigation Requirement (Itot, req)</t>
  </si>
  <si>
    <t>mm/year</t>
  </si>
  <si>
    <t>ECe (start)</t>
  </si>
  <si>
    <t>dS/m</t>
  </si>
  <si>
    <t>Total Leaching Requirement (R*tot, req)</t>
  </si>
  <si>
    <t>ECe - avg</t>
  </si>
  <si>
    <t>Irrigation shortage</t>
  </si>
  <si>
    <t>EC-max</t>
  </si>
  <si>
    <t>Time until  EC-max exceeded</t>
  </si>
  <si>
    <t>Years until Equilibrium</t>
  </si>
  <si>
    <t>Years</t>
  </si>
  <si>
    <t>Leaching Fraction (LF)</t>
  </si>
  <si>
    <t>Years until ECe</t>
  </si>
  <si>
    <t>Conversion</t>
  </si>
  <si>
    <t>Ece  = 0,5 * ECfc</t>
  </si>
  <si>
    <t>Inputs</t>
  </si>
  <si>
    <t>Period / Month</t>
  </si>
  <si>
    <t>Year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</si>
  <si>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</si>
  <si>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</si>
  <si>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</si>
  <si>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</si>
  <si>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</si>
  <si>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</si>
  <si>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</si>
  <si>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</si>
  <si>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</si>
  <si>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</si>
  <si>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</si>
  <si>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</si>
  <si>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E-P</t>
  </si>
  <si>
    <t xml:space="preserve"> </t>
  </si>
  <si>
    <t>ECi (E-P)</t>
  </si>
  <si>
    <t>ECmm</t>
  </si>
  <si>
    <t>5 Year Soil Salinity Projection</t>
  </si>
  <si>
    <t>Year 1</t>
  </si>
  <si>
    <t>Year 2</t>
  </si>
  <si>
    <t>Year 3</t>
  </si>
  <si>
    <t>Year 4</t>
  </si>
  <si>
    <t>Year 5</t>
  </si>
  <si>
    <t>Long-Term Equilibrium Balance</t>
  </si>
  <si>
    <t>Equilibrium</t>
  </si>
  <si>
    <t>Year 0</t>
  </si>
  <si>
    <t>Manual Irrigation Inputs</t>
  </si>
  <si>
    <t>Automatic Optimized Irrigation</t>
  </si>
  <si>
    <t>Ecavg</t>
  </si>
  <si>
    <t>EC Max</t>
  </si>
  <si>
    <t>EC Min</t>
  </si>
  <si>
    <t>EC Margin (+)</t>
  </si>
  <si>
    <t>EC Margin (-)</t>
  </si>
  <si>
    <r>
      <rPr>
        <b/>
        <sz val="16"/>
        <rFont val="DengXian"/>
        <charset val="134"/>
      </rPr>
      <t>Salt and Water Balance</t>
    </r>
    <r>
      <rPr>
        <sz val="10"/>
        <rFont val="DengXian"/>
        <charset val="134"/>
      </rPr>
      <t xml:space="preserve">
</t>
    </r>
    <r>
      <rPr>
        <b/>
        <sz val="10"/>
        <rFont val="DengXian"/>
        <charset val="134"/>
      </rPr>
      <t>Overview</t>
    </r>
    <r>
      <rPr>
        <sz val="10"/>
        <rFont val="DengXian"/>
        <charset val="134"/>
      </rPr>
      <t xml:space="preserve">
This spreadsheet tracks monthly water and salt dynamics in the crop rootzone to evaluate whether agricultural production is sustainable under a given water quality, following the classical soil salinity framework described by Bos and Wolters (2006). In feasibility studies and advisory projects, it functions as a practical decision-support tool to check whether a water source is usable, determine the required capacity of irrigation and drainage infrastructure, and identify safe seasonal planting windows. However, users should remain critical of its underlying simplifications: the model uses a single-layer "bucket" approach, which tends to overestimate the required leaching volume compared to real-world, multi-layered root extraction profiles. In addition, it assumes deep drainage with zero capillary rise from shallow groundwater, treats rainfall as completely salt-free, and leaves out chemical interactions such as gypsum precipitation or bypass flow through structural cracks.
</t>
    </r>
    <r>
      <rPr>
        <b/>
        <sz val="10"/>
        <rFont val="DengXian"/>
        <charset val="134"/>
      </rPr>
      <t>Automatic Optimized Irrigation</t>
    </r>
    <r>
      <rPr>
        <sz val="10"/>
        <rFont val="DengXian"/>
        <charset val="134"/>
      </rPr>
      <t xml:space="preserve">
The first module, Automatic Optimized Irrigation, calculates the theoretical minimum volume of water needed to maintain the rootzone at a stable, long-term salinity target (ECe - avg). By automatically deriving the leaching requirement from the ratio between water salinity and target soil salinity (LF = ECi / 2 ECe), it adds just enough excess water to the monthly crop deficit (E - P) to balance incoming salts. This serves as an ideal baseline for engineering design, but it comes with a major operational caveat: it is built for long-term equilibrium maintenance, not for land reclamation. If a project starts with high initial soil salinity, applying high-quality (clean) water prompts the model to reduce irrigation to a bare minimum. Because net percolation (R*) is choked down, the historical salts trapped in the profile are flushed out very slowly, meaning the soil takes several years to reach its safe target level.
</t>
    </r>
    <r>
      <rPr>
        <b/>
        <sz val="10"/>
        <rFont val="DengXian"/>
        <charset val="134"/>
      </rPr>
      <t>Manual Irrigation Inputs</t>
    </r>
    <r>
      <rPr>
        <sz val="10"/>
        <rFont val="DengXian"/>
        <charset val="134"/>
      </rPr>
      <t xml:space="preserve">
The second module, Manual Irrigation Inputs, is where you evaluate real-world management and project interventions. Rather than letting an algorithm dictate the water supply, the user inputs actual or proposed monthly irrigation depths to simulate how soil salinity evolves over a five-year period using the transient salt storage equation. This makes the module suitable for formulating concrete recommendations: consultants can evaluate what happens during summer droughts or canal delivery cuts (monitoring whether salinity spikes above the crop threshold EC - max), assess whether current farmer practices are causing gradual salinization, or model a deliberate pre-planting leaching gift to quickly flush out salts before shifting to a water-saving schedule.</t>
    </r>
  </si>
  <si>
    <r>
      <t xml:space="preserve">
</t>
    </r>
    <r>
      <rPr>
        <b/>
        <sz val="10"/>
        <rFont val="DengXian"/>
        <charset val="134"/>
      </rPr>
      <t xml:space="preserve">How to use this Model
</t>
    </r>
    <r>
      <rPr>
        <sz val="10"/>
        <rFont val="DengXian"/>
        <charset val="134"/>
      </rPr>
      <t>To use this model, enter data strictly into the designated light-blue cells, as all other cells contain protected balance equations that should not be overwritten. Begin by specifying your soil water capacity (Wfc}), initial salinity (ECe (start)), crop tolerance limits (ECe - avg and ECmax), and water salinity (ECi) in the Soil &amp; Crop Data box, along with local monthly evapotranspiration (E) and precipitation (P). Next, choose your workflow: use the Automatic Optimized Irrigation sheet to calculate the theoretical minimum irrigation and leaching volumes required for long-term balance, or use the Manual Irrigation Inputs sheet to test specific operational schedules, drought constraints, or pre-season leaching applications. Finally, evaluate the 5-year projection table and charts to ensure monthly salinity peaks remain safely below your crop stress limit (ECmax) and to verify the time required to reach a stable equilibrium.</t>
    </r>
  </si>
  <si>
    <t>Cell D4</t>
  </si>
  <si>
    <t>Baseline field measurement</t>
  </si>
  <si>
    <t>Soil sampling &amp; saturation extract lab measurement</t>
  </si>
  <si>
    <t>Cell D5</t>
  </si>
  <si>
    <t>Cell D6</t>
  </si>
  <si>
    <t>Cell D7</t>
  </si>
  <si>
    <t>Cell D8</t>
  </si>
  <si>
    <t>LF</t>
  </si>
  <si>
    <t>LF = ECi / (2 * ECe_avg)</t>
  </si>
  <si>
    <t>Calculated ratio (Bos &amp; Wolters Eq. 15.23)</t>
  </si>
  <si>
    <t>Cell D9</t>
  </si>
  <si>
    <t>Row 14 (F14:Q14)</t>
  </si>
  <si>
    <t>Row 15 (F15:Q15)</t>
  </si>
  <si>
    <t>Row 16 (F16:Q16)</t>
  </si>
  <si>
    <t>Auto: I = (E - P) / (1 - LF) | Manual: Direct input</t>
  </si>
  <si>
    <t>Row 18 (F18:Q18)</t>
  </si>
  <si>
    <t>Row 19 (F19:Q19)</t>
  </si>
  <si>
    <t>R* = max(0, I - (E - P) - dW)</t>
  </si>
  <si>
    <t>Row 20 (F20:Q20)</t>
  </si>
  <si>
    <t>Month 1: Z1 = 2 * Wfc * ECe_start | Later: Z1 = previous Z2</t>
  </si>
  <si>
    <t>Row 23 (F23:Q23)</t>
  </si>
  <si>
    <t>Row 24 (F24:Q24)</t>
  </si>
  <si>
    <t>Row 25 (F25:Q25)</t>
  </si>
  <si>
    <t>ECe = (Z1 + Z2) / (4 * Wfc)</t>
  </si>
  <si>
    <t>Row 26 (F26:Q26)</t>
  </si>
  <si>
    <t>Excel Location</t>
  </si>
  <si>
    <t>Soil water depth stored at field capacity (mm). Water retained after gravity drainage stops.</t>
  </si>
  <si>
    <t>Soil lab analysis (theta_fc) &amp; rooting depth (D)</t>
  </si>
  <si>
    <t>Initial soil salinity (dS/m). Baseline salinity before the start of the simulation.</t>
  </si>
  <si>
    <t>Target average rootzone salinity (dS/m). Long-term crop tolerance limit for optimal yield.</t>
  </si>
  <si>
    <t>Maximum allowable rootzone salinity in any single month (dS/m). Upper crop survival threshold.</t>
  </si>
  <si>
    <t>Electrical conductivity of irrigation water (dS/m). Measures salt added through watering.</t>
  </si>
  <si>
    <t>Direct water measurement</t>
  </si>
  <si>
    <t>Leaching Fraction (-). Fraction of applied water that must drain below roots to control salt.</t>
  </si>
  <si>
    <t>Monthly crop evapotranspiration (mm/month). Water consumed by plant transpiration &amp; soil evaporation.</t>
  </si>
  <si>
    <t>Monthly effective precipitation (mm/month). Rainwater that actually infiltrates the soil surface.</t>
  </si>
  <si>
    <t>Net water deficit (positive) or rainfall surplus (negative) (mm/month).</t>
  </si>
  <si>
    <t>Calculated water deficit</t>
  </si>
  <si>
    <t>Monthly depth of applied irrigation water (mm/month).</t>
  </si>
  <si>
    <t>Calculated optimum (Auto) or farm water schedule (Manual)</t>
  </si>
  <si>
    <t>Soil moisture sensors (set to 0 if soil stays at field capacity)</t>
  </si>
  <si>
    <t>Net deep percolation (mm/month). Excess water draining past the rootzone (leaching flux).</t>
  </si>
  <si>
    <t>Total soluble salt stored in rootzone at month start (ECmm).</t>
  </si>
  <si>
    <t>Baseline soil test (Oct) / previous month balance</t>
  </si>
  <si>
    <t>Net monthly change in stored salt mass (ECmm). Salt added by irrigation minus salt leached.</t>
  </si>
  <si>
    <t>Total soluble salt remaining in rootzone at month end (ECmm).</t>
  </si>
  <si>
    <t>Calculated salt mass balance</t>
  </si>
  <si>
    <t>Monthly average soil salinity (dS/m). Average saturation extract EC experienced by roots.</t>
  </si>
  <si>
    <t>Weather station (ETo) &amp; FAO crop factors (Kc)</t>
  </si>
  <si>
    <t>Local rain gauge, weather station data or FAO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</si>
</sst>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"/>
    <numFmt numFmtId="165" formatCode="0_)"/>
    <numFmt numFmtId="166" formatCode="0.00_)"/>
  </numFmts>
  <fonts count="12" x14ac:knownFonts="1">
    <font>
      <sz val="12"/>
      <name val="Arial"/>
    </font>
    <font>
      <sz val="10"/>
      <name val="DengXian"/>
      <charset val="134"/>
    </font>
    <font>
      <b/>
      <sz val="10"/>
      <name val="DengXian"/>
      <charset val="134"/>
    </font>
    <font>
      <b/>
      <sz val="14"/>
      <name val="DengXian"/>
      <charset val="134"/>
    </font>
    <font>
      <sz val="14"/>
      <name val="DengXian"/>
      <charset val="134"/>
    </font>
    <font>
      <b/>
      <sz val="16"/>
      <name val="DengXian"/>
      <charset val="134"/>
    </font>
    <font>
      <sz val="8"/>
      <name val="Arial"/>
      <family val="2"/>
    </font>
    <font>
      <sz val="10"/>
      <color theme="5" tint="-0.249977111117893"/>
      <name val="DengXian"/>
      <charset val="134"/>
    </font>
    <font>
      <b/>
      <sz val="10"/>
      <color theme="5" tint="-0.249977111117893"/>
      <name val="DengXian"/>
      <charset val="134"/>
    </font>
    <font>
      <sz val="24"/>
      <name val="DengXian"/>
      <charset val="134"/>
    </font>
    <font>
      <i/>
      <sz val="11"/>
      <name val="DengXian"/>
      <charset val="134"/>
    </font>
    <font>
      <b/>
      <sz val="11"/>
      <name val="DengXian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165" fontId="0" fillId="0" borderId="0"/>
  </cellStyleXfs>
  <cellXfs count="106">
    <xf numFmtId="165" fontId="0" fillId="0" borderId="0" xfId="0"/>
    <xf numFmtId="165" fontId="1" fillId="2" borderId="1" xfId="0" applyFont="1" applyFill="1" applyBorder="1"/>
    <xf numFmtId="165" fontId="2" fillId="2" borderId="1" xfId="0" applyFont="1" applyFill="1" applyBorder="1"/>
    <xf numFmtId="165" fontId="1" fillId="2" borderId="0" xfId="0" applyFont="1" applyFill="1" applyAlignment="1">
      <alignment horizontal="right"/>
    </xf>
    <xf numFmtId="165" fontId="1" fillId="2" borderId="0" xfId="0" applyFont="1" applyFill="1"/>
    <xf numFmtId="165" fontId="1" fillId="2" borderId="2" xfId="0" applyFont="1" applyFill="1" applyBorder="1"/>
    <xf numFmtId="165" fontId="1" fillId="4" borderId="0" xfId="0" applyFont="1" applyFill="1"/>
    <xf numFmtId="165" fontId="1" fillId="4" borderId="0" xfId="0" applyFont="1" applyFill="1" applyAlignment="1">
      <alignment horizontal="right"/>
    </xf>
    <xf numFmtId="165" fontId="1" fillId="2" borderId="4" xfId="0" applyFont="1" applyFill="1" applyBorder="1"/>
    <xf numFmtId="165" fontId="1" fillId="4" borderId="0" xfId="0" applyFont="1" applyFill="1" applyAlignment="1">
      <alignment horizontal="left" vertical="center"/>
    </xf>
    <xf numFmtId="166" fontId="1" fillId="4" borderId="0" xfId="0" applyNumberFormat="1" applyFont="1" applyFill="1" applyAlignment="1">
      <alignment horizontal="left"/>
    </xf>
    <xf numFmtId="165" fontId="4" fillId="4" borderId="0" xfId="0" applyFont="1" applyFill="1" applyAlignment="1">
      <alignment horizontal="left" vertical="center"/>
    </xf>
    <xf numFmtId="165" fontId="1" fillId="2" borderId="2" xfId="0" applyFont="1" applyFill="1" applyBorder="1" applyAlignment="1">
      <alignment horizontal="right"/>
    </xf>
    <xf numFmtId="165" fontId="2" fillId="2" borderId="2" xfId="0" applyFont="1" applyFill="1" applyBorder="1"/>
    <xf numFmtId="165" fontId="1" fillId="2" borderId="5" xfId="0" applyFont="1" applyFill="1" applyBorder="1"/>
    <xf numFmtId="165" fontId="1" fillId="4" borderId="0" xfId="0" applyFont="1" applyFill="1" applyAlignment="1">
      <alignment horizontal="left"/>
    </xf>
    <xf numFmtId="165" fontId="1" fillId="4" borderId="0" xfId="0" applyFont="1" applyFill="1" applyAlignment="1">
      <alignment horizontal="center" vertical="center"/>
    </xf>
    <xf numFmtId="165" fontId="1" fillId="2" borderId="4" xfId="0" applyFont="1" applyFill="1" applyBorder="1" applyAlignment="1">
      <alignment horizontal="right"/>
    </xf>
    <xf numFmtId="165" fontId="1" fillId="2" borderId="6" xfId="0" applyFont="1" applyFill="1" applyBorder="1"/>
    <xf numFmtId="165" fontId="3" fillId="4" borderId="0" xfId="0" applyFont="1" applyFill="1"/>
    <xf numFmtId="165" fontId="1" fillId="4" borderId="0" xfId="0" applyFont="1" applyFill="1" applyAlignment="1">
      <alignment horizontal="center"/>
    </xf>
    <xf numFmtId="165" fontId="1" fillId="4" borderId="0" xfId="0" applyFont="1" applyFill="1" applyAlignment="1">
      <alignment vertical="center"/>
    </xf>
    <xf numFmtId="165" fontId="1" fillId="2" borderId="5" xfId="0" applyFont="1" applyFill="1" applyBorder="1" applyAlignment="1">
      <alignment vertical="center"/>
    </xf>
    <xf numFmtId="165" fontId="7" fillId="5" borderId="9" xfId="0" applyFont="1" applyFill="1" applyBorder="1"/>
    <xf numFmtId="165" fontId="7" fillId="5" borderId="10" xfId="0" applyFont="1" applyFill="1" applyBorder="1" applyAlignment="1">
      <alignment horizontal="right"/>
    </xf>
    <xf numFmtId="164" fontId="8" fillId="5" borderId="10" xfId="0" applyNumberFormat="1" applyFont="1" applyFill="1" applyBorder="1" applyAlignment="1">
      <alignment horizontal="right"/>
    </xf>
    <xf numFmtId="164" fontId="8" fillId="5" borderId="10" xfId="0" applyNumberFormat="1" applyFont="1" applyFill="1" applyBorder="1"/>
    <xf numFmtId="164" fontId="8" fillId="5" borderId="11" xfId="0" applyNumberFormat="1" applyFont="1" applyFill="1" applyBorder="1"/>
    <xf numFmtId="165" fontId="2" fillId="2" borderId="0" xfId="0" applyFont="1" applyFill="1"/>
    <xf numFmtId="165" fontId="1" fillId="2" borderId="12" xfId="0" applyFont="1" applyFill="1" applyBorder="1"/>
    <xf numFmtId="165" fontId="1" fillId="2" borderId="12" xfId="0" applyFont="1" applyFill="1" applyBorder="1" applyAlignment="1">
      <alignment horizontal="right"/>
    </xf>
    <xf numFmtId="165" fontId="1" fillId="2" borderId="12" xfId="0" applyFont="1" applyFill="1" applyBorder="1" applyAlignment="1">
      <alignment horizontal="left"/>
    </xf>
    <xf numFmtId="165" fontId="1" fillId="2" borderId="13" xfId="0" applyFont="1" applyFill="1" applyBorder="1"/>
    <xf numFmtId="165" fontId="1" fillId="4" borderId="0" xfId="0" applyFont="1" applyFill="1" applyAlignment="1">
      <alignment wrapText="1"/>
    </xf>
    <xf numFmtId="165" fontId="1" fillId="4" borderId="0" xfId="0" applyFont="1" applyFill="1" applyAlignment="1">
      <alignment vertical="top" wrapText="1"/>
    </xf>
    <xf numFmtId="165" fontId="1" fillId="2" borderId="9" xfId="0" applyFont="1" applyFill="1" applyBorder="1" applyAlignment="1">
      <alignment wrapText="1"/>
    </xf>
    <xf numFmtId="165" fontId="1" fillId="2" borderId="10" xfId="0" applyFont="1" applyFill="1" applyBorder="1" applyAlignment="1">
      <alignment horizontal="right" vertical="center"/>
    </xf>
    <xf numFmtId="165" fontId="1" fillId="2" borderId="11" xfId="0" applyFont="1" applyFill="1" applyBorder="1" applyAlignment="1">
      <alignment horizontal="left" vertical="center"/>
    </xf>
    <xf numFmtId="165" fontId="1" fillId="2" borderId="9" xfId="0" applyFont="1" applyFill="1" applyBorder="1" applyAlignment="1">
      <alignment horizontal="left" vertical="top" wrapText="1"/>
    </xf>
    <xf numFmtId="165" fontId="1" fillId="2" borderId="9" xfId="0" applyFont="1" applyFill="1" applyBorder="1" applyAlignment="1">
      <alignment vertical="center"/>
    </xf>
    <xf numFmtId="165" fontId="2" fillId="2" borderId="10" xfId="0" applyFont="1" applyFill="1" applyBorder="1" applyAlignment="1">
      <alignment vertical="center"/>
    </xf>
    <xf numFmtId="165" fontId="2" fillId="2" borderId="11" xfId="0" applyFont="1" applyFill="1" applyBorder="1" applyAlignment="1">
      <alignment horizontal="left" vertical="center"/>
    </xf>
    <xf numFmtId="165" fontId="1" fillId="2" borderId="9" xfId="0" applyFont="1" applyFill="1" applyBorder="1" applyAlignment="1">
      <alignment vertical="center" wrapText="1"/>
    </xf>
    <xf numFmtId="165" fontId="1" fillId="2" borderId="11" xfId="0" applyFont="1" applyFill="1" applyBorder="1" applyAlignment="1">
      <alignment vertical="center"/>
    </xf>
    <xf numFmtId="165" fontId="1" fillId="3" borderId="14" xfId="0" applyFont="1" applyFill="1" applyBorder="1" applyAlignment="1">
      <alignment horizontal="right" vertical="center"/>
    </xf>
    <xf numFmtId="166" fontId="1" fillId="3" borderId="14" xfId="0" applyNumberFormat="1" applyFont="1" applyFill="1" applyBorder="1" applyAlignment="1">
      <alignment horizontal="right" vertical="center"/>
    </xf>
    <xf numFmtId="165" fontId="1" fillId="2" borderId="8" xfId="0" applyFont="1" applyFill="1" applyBorder="1" applyAlignment="1">
      <alignment vertical="center"/>
    </xf>
    <xf numFmtId="165" fontId="1" fillId="2" borderId="14" xfId="0" applyFont="1" applyFill="1" applyBorder="1" applyAlignment="1">
      <alignment vertical="center"/>
    </xf>
    <xf numFmtId="165" fontId="1" fillId="3" borderId="9" xfId="0" applyFont="1" applyFill="1" applyBorder="1"/>
    <xf numFmtId="165" fontId="1" fillId="3" borderId="10" xfId="0" applyFont="1" applyFill="1" applyBorder="1"/>
    <xf numFmtId="165" fontId="1" fillId="3" borderId="11" xfId="0" applyFont="1" applyFill="1" applyBorder="1"/>
    <xf numFmtId="166" fontId="1" fillId="3" borderId="15" xfId="0" applyNumberFormat="1" applyFont="1" applyFill="1" applyBorder="1" applyAlignment="1">
      <alignment horizontal="right" vertical="center"/>
    </xf>
    <xf numFmtId="166" fontId="1" fillId="4" borderId="0" xfId="0" applyNumberFormat="1" applyFont="1" applyFill="1"/>
    <xf numFmtId="165" fontId="2" fillId="2" borderId="11" xfId="0" applyFont="1" applyFill="1" applyBorder="1" applyAlignment="1">
      <alignment vertical="center"/>
    </xf>
    <xf numFmtId="165" fontId="2" fillId="2" borderId="10" xfId="0" applyFont="1" applyFill="1" applyBorder="1" applyAlignment="1">
      <alignment horizontal="right"/>
    </xf>
    <xf numFmtId="165" fontId="2" fillId="2" borderId="10" xfId="0" applyFont="1" applyFill="1" applyBorder="1" applyAlignment="1">
      <alignment horizontal="right" vertical="center"/>
    </xf>
    <xf numFmtId="165" fontId="9" fillId="4" borderId="0" xfId="0" applyFont="1" applyFill="1" applyAlignment="1">
      <alignment horizontal="left"/>
    </xf>
    <xf numFmtId="165" fontId="10" fillId="4" borderId="0" xfId="0" applyFont="1" applyFill="1" applyAlignment="1">
      <alignment horizontal="left"/>
    </xf>
    <xf numFmtId="164" fontId="1" fillId="4" borderId="0" xfId="0" applyNumberFormat="1" applyFont="1" applyFill="1"/>
    <xf numFmtId="164" fontId="1" fillId="2" borderId="16" xfId="0" applyNumberFormat="1" applyFont="1" applyFill="1" applyBorder="1" applyAlignment="1">
      <alignment horizontal="left"/>
    </xf>
    <xf numFmtId="165" fontId="1" fillId="2" borderId="1" xfId="0" applyFont="1" applyFill="1" applyBorder="1" applyAlignment="1">
      <alignment horizontal="left"/>
    </xf>
    <xf numFmtId="164" fontId="1" fillId="2" borderId="17" xfId="0" applyNumberFormat="1" applyFont="1" applyFill="1" applyBorder="1" applyAlignment="1">
      <alignment horizontal="left"/>
    </xf>
    <xf numFmtId="165" fontId="1" fillId="2" borderId="6" xfId="0" applyFont="1" applyFill="1" applyBorder="1" applyAlignment="1">
      <alignment horizontal="left"/>
    </xf>
    <xf numFmtId="165" fontId="1" fillId="2" borderId="18" xfId="0" applyFont="1" applyFill="1" applyBorder="1" applyAlignment="1">
      <alignment vertical="center"/>
    </xf>
    <xf numFmtId="165" fontId="1" fillId="2" borderId="12" xfId="0" applyFont="1" applyFill="1" applyBorder="1" applyAlignment="1">
      <alignment horizontal="left" vertical="center"/>
    </xf>
    <xf numFmtId="165" fontId="1" fillId="2" borderId="12" xfId="0" applyFont="1" applyFill="1" applyBorder="1" applyAlignment="1">
      <alignment vertical="center"/>
    </xf>
    <xf numFmtId="165" fontId="1" fillId="2" borderId="13" xfId="0" applyFont="1" applyFill="1" applyBorder="1" applyAlignment="1">
      <alignment vertical="center"/>
    </xf>
    <xf numFmtId="165" fontId="1" fillId="2" borderId="12" xfId="0" applyFont="1" applyFill="1" applyBorder="1" applyAlignment="1">
      <alignment horizontal="right" vertical="center"/>
    </xf>
    <xf numFmtId="165" fontId="1" fillId="2" borderId="13" xfId="0" applyFont="1" applyFill="1" applyBorder="1" applyAlignment="1">
      <alignment horizontal="right" vertical="center"/>
    </xf>
    <xf numFmtId="165" fontId="1" fillId="2" borderId="0" xfId="0" applyFont="1" applyFill="1" applyAlignment="1">
      <alignment horizontal="right" vertical="center"/>
    </xf>
    <xf numFmtId="165" fontId="1" fillId="3" borderId="3" xfId="0" applyFont="1" applyFill="1" applyBorder="1" applyAlignment="1">
      <alignment horizontal="right" vertical="center"/>
    </xf>
    <xf numFmtId="165" fontId="1" fillId="3" borderId="0" xfId="0" applyFont="1" applyFill="1" applyAlignment="1">
      <alignment horizontal="right" vertical="center"/>
    </xf>
    <xf numFmtId="165" fontId="1" fillId="3" borderId="1" xfId="0" applyFont="1" applyFill="1" applyBorder="1" applyAlignment="1">
      <alignment horizontal="right" vertical="center"/>
    </xf>
    <xf numFmtId="165" fontId="1" fillId="3" borderId="7" xfId="0" applyFont="1" applyFill="1" applyBorder="1" applyAlignment="1">
      <alignment horizontal="right" vertical="center"/>
    </xf>
    <xf numFmtId="165" fontId="1" fillId="3" borderId="4" xfId="0" applyFont="1" applyFill="1" applyBorder="1" applyAlignment="1">
      <alignment horizontal="right" vertical="center"/>
    </xf>
    <xf numFmtId="165" fontId="1" fillId="3" borderId="6" xfId="0" applyFont="1" applyFill="1" applyBorder="1" applyAlignment="1">
      <alignment horizontal="right" vertical="center"/>
    </xf>
    <xf numFmtId="165" fontId="1" fillId="2" borderId="1" xfId="0" applyFont="1" applyFill="1" applyBorder="1" applyAlignment="1">
      <alignment horizontal="right" vertical="center"/>
    </xf>
    <xf numFmtId="165" fontId="1" fillId="3" borderId="8" xfId="0" applyFont="1" applyFill="1" applyBorder="1" applyAlignment="1">
      <alignment horizontal="right" vertical="center"/>
    </xf>
    <xf numFmtId="165" fontId="1" fillId="3" borderId="2" xfId="0" applyFont="1" applyFill="1" applyBorder="1" applyAlignment="1">
      <alignment horizontal="right" vertical="center"/>
    </xf>
    <xf numFmtId="165" fontId="1" fillId="3" borderId="5" xfId="0" applyFont="1" applyFill="1" applyBorder="1" applyAlignment="1">
      <alignment horizontal="right" vertical="center"/>
    </xf>
    <xf numFmtId="165" fontId="1" fillId="2" borderId="4" xfId="0" applyFont="1" applyFill="1" applyBorder="1" applyAlignment="1">
      <alignment horizontal="right" vertical="center"/>
    </xf>
    <xf numFmtId="165" fontId="1" fillId="2" borderId="6" xfId="0" applyFont="1" applyFill="1" applyBorder="1" applyAlignment="1">
      <alignment horizontal="right" vertical="center"/>
    </xf>
    <xf numFmtId="165" fontId="1" fillId="4" borderId="0" xfId="0" applyFont="1" applyFill="1" applyAlignment="1">
      <alignment horizontal="left" vertical="center" indent="1"/>
    </xf>
    <xf numFmtId="165" fontId="1" fillId="0" borderId="0" xfId="0" applyFont="1" applyAlignment="1">
      <alignment horizontal="left" vertical="center" indent="1"/>
    </xf>
    <xf numFmtId="165" fontId="1" fillId="0" borderId="0" xfId="0" applyFont="1" applyAlignment="1">
      <alignment horizontal="left" vertical="center" wrapText="1" indent="1"/>
    </xf>
    <xf numFmtId="165" fontId="1" fillId="4" borderId="0" xfId="0" applyFont="1" applyFill="1" applyAlignment="1">
      <alignment horizontal="left" vertical="center" wrapText="1" indent="1"/>
    </xf>
    <xf numFmtId="165" fontId="11" fillId="0" borderId="0" xfId="0" applyFont="1" applyAlignment="1">
      <alignment horizontal="left" vertical="center" wrapText="1" indent="1"/>
    </xf>
    <xf numFmtId="165" fontId="11" fillId="0" borderId="0" xfId="0" applyFont="1" applyAlignment="1">
      <alignment horizontal="left" vertical="center" indent="1"/>
    </xf>
    <xf numFmtId="165" fontId="1" fillId="3" borderId="3" xfId="0" applyFont="1" applyFill="1" applyBorder="1" applyAlignment="1">
      <alignment horizontal="right"/>
    </xf>
    <xf numFmtId="165" fontId="1" fillId="3" borderId="0" xfId="0" applyFont="1" applyFill="1"/>
    <xf numFmtId="165" fontId="1" fillId="3" borderId="1" xfId="0" applyFont="1" applyFill="1" applyBorder="1"/>
    <xf numFmtId="165" fontId="1" fillId="3" borderId="7" xfId="0" applyFont="1" applyFill="1" applyBorder="1"/>
    <xf numFmtId="165" fontId="1" fillId="3" borderId="4" xfId="0" applyFont="1" applyFill="1" applyBorder="1"/>
    <xf numFmtId="165" fontId="1" fillId="3" borderId="6" xfId="0" applyFont="1" applyFill="1" applyBorder="1"/>
    <xf numFmtId="165" fontId="1" fillId="2" borderId="8" xfId="0" applyFont="1" applyFill="1" applyBorder="1" applyAlignment="1">
      <alignment horizontal="center" vertical="center"/>
    </xf>
    <xf numFmtId="165" fontId="1" fillId="2" borderId="3" xfId="0" applyFont="1" applyFill="1" applyBorder="1" applyAlignment="1">
      <alignment horizontal="center" vertical="center"/>
    </xf>
    <xf numFmtId="165" fontId="1" fillId="2" borderId="7" xfId="0" applyFont="1" applyFill="1" applyBorder="1" applyAlignment="1">
      <alignment horizontal="center" vertical="center"/>
    </xf>
    <xf numFmtId="165" fontId="2" fillId="2" borderId="10" xfId="0" applyFont="1" applyFill="1" applyBorder="1" applyAlignment="1">
      <alignment horizontal="center" vertical="center"/>
    </xf>
    <xf numFmtId="165" fontId="2" fillId="2" borderId="11" xfId="0" applyFont="1" applyFill="1" applyBorder="1" applyAlignment="1">
      <alignment horizontal="center" vertical="center"/>
    </xf>
    <xf numFmtId="165" fontId="1" fillId="2" borderId="15" xfId="0" applyFont="1" applyFill="1" applyBorder="1" applyAlignment="1">
      <alignment horizontal="center" vertical="center"/>
    </xf>
    <xf numFmtId="165" fontId="1" fillId="2" borderId="16" xfId="0" applyFont="1" applyFill="1" applyBorder="1" applyAlignment="1">
      <alignment horizontal="center" vertical="center"/>
    </xf>
    <xf numFmtId="165" fontId="1" fillId="2" borderId="17" xfId="0" applyFont="1" applyFill="1" applyBorder="1" applyAlignment="1">
      <alignment horizontal="center" vertical="center"/>
    </xf>
    <xf numFmtId="165" fontId="1" fillId="2" borderId="9" xfId="0" applyFont="1" applyFill="1" applyBorder="1" applyAlignment="1">
      <alignment horizontal="left" vertical="top" wrapText="1" indent="1"/>
    </xf>
    <xf numFmtId="165" fontId="1" fillId="2" borderId="11" xfId="0" applyFont="1" applyFill="1" applyBorder="1" applyAlignment="1">
      <alignment horizontal="left" vertical="top" wrapText="1" indent="1"/>
    </xf>
    <xf numFmtId="166" fontId="1" fillId="2" borderId="14" xfId="0" applyNumberFormat="1" applyFont="1" applyFill="1" applyBorder="1" applyAlignment="1">
      <alignment horizontal="right" vertical="center"/>
    </xf>
    <xf numFmtId="165" fontId="1" fillId="2" borderId="14" xfId="0" applyFont="1" applyFill="1" applyBorder="1" applyAlignment="1">
      <alignment horizontal="right" vertical="center"/>
    </xf>
  </cellXfs>
  <cellStyles count="1">
    <cellStyle name="Normal" xfId="0" builtinId="0"/>
  </cellStyles>
  <dxfs count="7">
    <dxf>
      <font>
        <b val="0"/>
        <strike val="0"/>
        <outline val="0"/>
        <shadow val="0"/>
        <u val="none"/>
        <vertAlign val="baseline"/>
        <sz val="10"/>
        <color auto="1"/>
        <name val="DengXian"/>
        <charset val="134"/>
        <scheme val="none"/>
      </font>
      <alignment horizontal="left" vertical="center" textRotation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engXian"/>
        <charset val="134"/>
        <scheme val="none"/>
      </font>
      <alignment horizontal="left" vertical="center" textRotation="0" wrapText="1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DengXian"/>
        <charset val="134"/>
        <scheme val="none"/>
      </font>
      <alignment horizontal="left" vertical="center" textRotation="0" wrapText="1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DengXian"/>
        <charset val="134"/>
        <scheme val="none"/>
      </font>
      <alignment horizontal="left" vertical="center" textRotation="0" wrapText="1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DengXian"/>
        <charset val="134"/>
        <scheme val="none"/>
      </font>
      <alignment horizontal="left" vertical="center" textRotation="0" relative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DengXian"/>
        <charset val="134"/>
        <scheme val="none"/>
      </font>
      <alignment horizontal="left" vertical="center" textRotation="0" relativeIndent="1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DengXian"/>
        <charset val="134"/>
        <scheme val="none"/>
      </font>
      <alignment horizontal="left" vertical="center" textRotation="0" relative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Soil EC (Optimized</a:t>
            </a:r>
            <a:r>
              <a:rPr lang="en-US" baseline="0"/>
              <a:t> Irrigation with LF)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(Optimized)'!$C$26</c:f>
              <c:strCache>
                <c:ptCount val="1"/>
                <c:pt idx="0">
                  <c:v>ECe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 cap="flat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'Balance (Optimized)'!$E$52:$E$58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0.79533784045455658</c:v>
                  </c:pt>
                  <c:pt idx="2">
                    <c:v>0.64693148267569178</c:v>
                  </c:pt>
                  <c:pt idx="3">
                    <c:v>0.65089821697460959</c:v>
                  </c:pt>
                  <c:pt idx="4">
                    <c:v>0.65537481219982396</c:v>
                  </c:pt>
                  <c:pt idx="5">
                    <c:v>0.65634870561573155</c:v>
                  </c:pt>
                  <c:pt idx="6">
                    <c:v>0.65661948755412869</c:v>
                  </c:pt>
                </c:numCache>
              </c:numRef>
            </c:plus>
            <c:minus>
              <c:numRef>
                <c:f>'Balance (Optimized)'!$G$52:$G$58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1.3544655638215968</c:v>
                  </c:pt>
                  <c:pt idx="2">
                    <c:v>1.4076270436417992</c:v>
                  </c:pt>
                  <c:pt idx="3">
                    <c:v>1.4191924438113794</c:v>
                  </c:pt>
                  <c:pt idx="4">
                    <c:v>1.4217085227756012</c:v>
                  </c:pt>
                  <c:pt idx="5">
                    <c:v>1.4222559014448537</c:v>
                  </c:pt>
                  <c:pt idx="6">
                    <c:v>1.422408094954613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</a:ln>
            </c:spPr>
          </c:errBars>
          <c:cat>
            <c:strRef>
              <c:f>'Balance (Optimized)'!$C$52:$C$58</c:f>
              <c:strCache>
                <c:ptCount val="7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Equilibrium</c:v>
                </c:pt>
              </c:strCache>
            </c:strRef>
          </c:cat>
          <c:val>
            <c:numRef>
              <c:f>'Balance (Optimized)'!$B$52:$B$58</c:f>
              <c:numCache>
                <c:formatCode>0.0_)</c:formatCode>
                <c:ptCount val="7"/>
                <c:pt idx="0">
                  <c:v>7.33</c:v>
                </c:pt>
                <c:pt idx="1">
                  <c:v>6.4807651007219134</c:v>
                </c:pt>
                <c:pt idx="2">
                  <c:v>6.3179781675492075</c:v>
                </c:pt>
                <c:pt idx="3">
                  <c:v>6.2825635020641899</c:v>
                </c:pt>
                <c:pt idx="4">
                  <c:v>6.2748589614909909</c:v>
                </c:pt>
                <c:pt idx="5">
                  <c:v>6.2731828212640233</c:v>
                </c:pt>
                <c:pt idx="6">
                  <c:v>6.2727167861802355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8-449F-B93C-FF02C5758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063311"/>
        <c:axId val="1"/>
      </c:lineChart>
      <c:catAx>
        <c:axId val="165706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dS/m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5706331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Montly Soil EC (Optimized</a:t>
            </a:r>
            <a:r>
              <a:rPr lang="en-US" baseline="0"/>
              <a:t> Irrigation with LF)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(Optimized)'!$C$14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strRef>
              <c:f>'Balance (Optimized)'!$F$13:$Q$13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(Optimized)'!$F$14:$Q$14</c:f>
              <c:numCache>
                <c:formatCode>0_)</c:formatCode>
                <c:ptCount val="12"/>
                <c:pt idx="0">
                  <c:v>0</c:v>
                </c:pt>
                <c:pt idx="1">
                  <c:v>18.600000000000001</c:v>
                </c:pt>
                <c:pt idx="2">
                  <c:v>33.440000000000005</c:v>
                </c:pt>
                <c:pt idx="3">
                  <c:v>44.849999999999994</c:v>
                </c:pt>
                <c:pt idx="4">
                  <c:v>63.249999999999993</c:v>
                </c:pt>
                <c:pt idx="5">
                  <c:v>138</c:v>
                </c:pt>
                <c:pt idx="6">
                  <c:v>164.85</c:v>
                </c:pt>
                <c:pt idx="7">
                  <c:v>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8-449F-B93C-FF02C57583EE}"/>
            </c:ext>
          </c:extLst>
        </c:ser>
        <c:ser>
          <c:idx val="1"/>
          <c:order val="1"/>
          <c:tx>
            <c:strRef>
              <c:f>'Balance (Optimized)'!$C$15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'Balance (Optimized)'!$F$13:$Q$13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(Optimized)'!$F$15:$Q$15</c:f>
              <c:numCache>
                <c:formatCode>0_)</c:formatCode>
                <c:ptCount val="12"/>
                <c:pt idx="0">
                  <c:v>4</c:v>
                </c:pt>
                <c:pt idx="1">
                  <c:v>62</c:v>
                </c:pt>
                <c:pt idx="2">
                  <c:v>30</c:v>
                </c:pt>
                <c:pt idx="3">
                  <c:v>87</c:v>
                </c:pt>
                <c:pt idx="4">
                  <c:v>79</c:v>
                </c:pt>
                <c:pt idx="5">
                  <c:v>7</c:v>
                </c:pt>
                <c:pt idx="6">
                  <c:v>59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9-448F-834E-EE919C81612A}"/>
            </c:ext>
          </c:extLst>
        </c:ser>
        <c:ser>
          <c:idx val="2"/>
          <c:order val="2"/>
          <c:tx>
            <c:strRef>
              <c:f>'Balance (Optimized)'!$C$18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'Balance (Optimized)'!$F$13:$Q$13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(Optimized)'!$F$18:$Q$18</c:f>
              <c:numCache>
                <c:formatCode>0_)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6.5916167664670757</c:v>
                </c:pt>
                <c:pt idx="3">
                  <c:v>0</c:v>
                </c:pt>
                <c:pt idx="4">
                  <c:v>0</c:v>
                </c:pt>
                <c:pt idx="5">
                  <c:v>251.01796407185631</c:v>
                </c:pt>
                <c:pt idx="6">
                  <c:v>202.82634730538922</c:v>
                </c:pt>
                <c:pt idx="7">
                  <c:v>172.45508982035929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9-448F-834E-EE919C816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7063311"/>
        <c:axId val="1"/>
      </c:barChart>
      <c:lineChart>
        <c:grouping val="standard"/>
        <c:varyColors val="0"/>
        <c:ser>
          <c:idx val="3"/>
          <c:order val="3"/>
          <c:tx>
            <c:strRef>
              <c:f>'Balance (Optimized)'!$B$23:$B$26</c:f>
              <c:strCache>
                <c:ptCount val="1"/>
                <c:pt idx="0">
                  <c:v>Year 1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'Balance (Optimized)'!$F$13:$Q$13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(Optimized)'!$F$26:$Q$26</c:f>
              <c:numCache>
                <c:formatCode>0.0_)</c:formatCode>
                <c:ptCount val="12"/>
                <c:pt idx="0">
                  <c:v>7.2761029411764699</c:v>
                </c:pt>
                <c:pt idx="1">
                  <c:v>6.6849351670733421</c:v>
                </c:pt>
                <c:pt idx="2">
                  <c:v>6.1584125589348115</c:v>
                </c:pt>
                <c:pt idx="3">
                  <c:v>5.7224886364012271</c:v>
                </c:pt>
                <c:pt idx="4">
                  <c:v>5.1262995369003166</c:v>
                </c:pt>
                <c:pt idx="5">
                  <c:v>5.5265257058938557</c:v>
                </c:pt>
                <c:pt idx="6">
                  <c:v>6.3691470268101158</c:v>
                </c:pt>
                <c:pt idx="7">
                  <c:v>6.8392633412332371</c:v>
                </c:pt>
                <c:pt idx="8">
                  <c:v>7.016501573559899</c:v>
                </c:pt>
                <c:pt idx="9">
                  <c:v>7.016501573559899</c:v>
                </c:pt>
                <c:pt idx="10">
                  <c:v>7.016501573559899</c:v>
                </c:pt>
                <c:pt idx="11">
                  <c:v>7.016501573559899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79-448F-834E-EE919C81612A}"/>
            </c:ext>
          </c:extLst>
        </c:ser>
        <c:ser>
          <c:idx val="4"/>
          <c:order val="4"/>
          <c:tx>
            <c:strRef>
              <c:f>'Balance (Optimized)'!$B$27:$B$30</c:f>
              <c:strCache>
                <c:ptCount val="1"/>
                <c:pt idx="0">
                  <c:v>Year 2</c:v>
                </c:pt>
              </c:strCache>
            </c:strRef>
          </c:tx>
          <c:marker>
            <c:symbol val="none"/>
          </c:marker>
          <c:cat>
            <c:strRef>
              <c:f>'Balance (Optimized)'!$F$13:$Q$13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(Optimized)'!$F$30:$Q$30</c:f>
              <c:numCache>
                <c:formatCode>0.0_)</c:formatCode>
                <c:ptCount val="12"/>
                <c:pt idx="0">
                  <c:v>6.9649096502248993</c:v>
                </c:pt>
                <c:pt idx="1">
                  <c:v>6.3990256642450225</c:v>
                </c:pt>
                <c:pt idx="2">
                  <c:v>5.8970073550806728</c:v>
                </c:pt>
                <c:pt idx="3">
                  <c:v>5.4814254034579539</c:v>
                </c:pt>
                <c:pt idx="4">
                  <c:v>4.9103511239074082</c:v>
                </c:pt>
                <c:pt idx="5">
                  <c:v>5.35499862379279</c:v>
                </c:pt>
                <c:pt idx="6">
                  <c:v>6.2560528853049178</c:v>
                </c:pt>
                <c:pt idx="7">
                  <c:v>6.7587701771682545</c:v>
                </c:pt>
                <c:pt idx="8">
                  <c:v>6.9482992818521438</c:v>
                </c:pt>
                <c:pt idx="9">
                  <c:v>6.9482992818521438</c:v>
                </c:pt>
                <c:pt idx="10">
                  <c:v>6.9482992818521438</c:v>
                </c:pt>
                <c:pt idx="11">
                  <c:v>6.9482992818521438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79-448F-834E-EE919C81612A}"/>
            </c:ext>
          </c:extLst>
        </c:ser>
        <c:ser>
          <c:idx val="5"/>
          <c:order val="5"/>
          <c:tx>
            <c:strRef>
              <c:f>'Balance (Optimized)'!$B$31:$B$34</c:f>
              <c:strCache>
                <c:ptCount val="1"/>
                <c:pt idx="0">
                  <c:v>Year 3</c:v>
                </c:pt>
              </c:strCache>
            </c:strRef>
          </c:tx>
          <c:marker>
            <c:symbol val="none"/>
          </c:marker>
          <c:cat>
            <c:strRef>
              <c:f>'Balance (Optimized)'!$F$13:$Q$13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(Optimized)'!$F$34:$Q$34</c:f>
              <c:numCache>
                <c:formatCode>0.0_)</c:formatCode>
                <c:ptCount val="12"/>
                <c:pt idx="0">
                  <c:v>6.8972088459561727</c:v>
                </c:pt>
                <c:pt idx="1">
                  <c:v>6.3368254052665547</c:v>
                </c:pt>
                <c:pt idx="2">
                  <c:v>5.8401380617651233</c:v>
                </c:pt>
                <c:pt idx="3">
                  <c:v>5.4289815519212592</c:v>
                </c:pt>
                <c:pt idx="4">
                  <c:v>4.8633710582528105</c:v>
                </c:pt>
                <c:pt idx="5">
                  <c:v>5.3176825191409138</c:v>
                </c:pt>
                <c:pt idx="6">
                  <c:v>6.2314489990367701</c:v>
                </c:pt>
                <c:pt idx="7">
                  <c:v>6.741258707275473</c:v>
                </c:pt>
                <c:pt idx="8">
                  <c:v>6.9334617190387995</c:v>
                </c:pt>
                <c:pt idx="9">
                  <c:v>6.9334617190387995</c:v>
                </c:pt>
                <c:pt idx="10">
                  <c:v>6.9334617190387995</c:v>
                </c:pt>
                <c:pt idx="11">
                  <c:v>6.9334617190387995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79-448F-834E-EE919C81612A}"/>
            </c:ext>
          </c:extLst>
        </c:ser>
        <c:ser>
          <c:idx val="6"/>
          <c:order val="6"/>
          <c:tx>
            <c:strRef>
              <c:f>'Balance (Optimized)'!$B$35:$B$38</c:f>
              <c:strCache>
                <c:ptCount val="1"/>
                <c:pt idx="0">
                  <c:v>Year 4</c:v>
                </c:pt>
              </c:strCache>
            </c:strRef>
          </c:tx>
          <c:marker>
            <c:symbol val="none"/>
          </c:marker>
          <c:cat>
            <c:strRef>
              <c:f>'Balance (Optimized)'!$F$13:$Q$13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(Optimized)'!$F$38:$Q$38</c:f>
              <c:numCache>
                <c:formatCode>0.0_)</c:formatCode>
                <c:ptCount val="12"/>
                <c:pt idx="0">
                  <c:v>6.8824803828693959</c:v>
                </c:pt>
                <c:pt idx="1">
                  <c:v>6.3232935982481937</c:v>
                </c:pt>
                <c:pt idx="2">
                  <c:v>5.8277660183837119</c:v>
                </c:pt>
                <c:pt idx="3">
                  <c:v>5.4175722734078091</c:v>
                </c:pt>
                <c:pt idx="4">
                  <c:v>4.8531504387153896</c:v>
                </c:pt>
                <c:pt idx="5">
                  <c:v>5.3095643161765027</c:v>
                </c:pt>
                <c:pt idx="6">
                  <c:v>6.2260963679328123</c:v>
                </c:pt>
                <c:pt idx="7">
                  <c:v>6.7374490473948132</c:v>
                </c:pt>
                <c:pt idx="8">
                  <c:v>6.9302337736908148</c:v>
                </c:pt>
                <c:pt idx="9">
                  <c:v>6.9302337736908148</c:v>
                </c:pt>
                <c:pt idx="10">
                  <c:v>6.9302337736908148</c:v>
                </c:pt>
                <c:pt idx="11">
                  <c:v>6.9302337736908148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79-448F-834E-EE919C81612A}"/>
            </c:ext>
          </c:extLst>
        </c:ser>
        <c:ser>
          <c:idx val="7"/>
          <c:order val="7"/>
          <c:tx>
            <c:strRef>
              <c:f>'Balance (Optimized)'!$B$39:$B$42</c:f>
              <c:strCache>
                <c:ptCount val="1"/>
                <c:pt idx="0">
                  <c:v>Year 5</c:v>
                </c:pt>
              </c:strCache>
            </c:strRef>
          </c:tx>
          <c:marker>
            <c:symbol val="none"/>
          </c:marker>
          <c:cat>
            <c:strRef>
              <c:f>'Balance (Optimized)'!$F$13:$Q$13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(Optimized)'!$F$42:$Q$42</c:f>
              <c:numCache>
                <c:formatCode>0.0_)</c:formatCode>
                <c:ptCount val="12"/>
                <c:pt idx="0">
                  <c:v>6.8792761724136771</c:v>
                </c:pt>
                <c:pt idx="1">
                  <c:v>6.320349723026621</c:v>
                </c:pt>
                <c:pt idx="2">
                  <c:v>5.8250744523643823</c:v>
                </c:pt>
                <c:pt idx="3">
                  <c:v>5.4150901590629781</c:v>
                </c:pt>
                <c:pt idx="4">
                  <c:v>4.8509269198191696</c:v>
                </c:pt>
                <c:pt idx="5">
                  <c:v>5.3077981827607514</c:v>
                </c:pt>
                <c:pt idx="6">
                  <c:v>6.224931890930165</c:v>
                </c:pt>
                <c:pt idx="7">
                  <c:v>6.7366202472715111</c:v>
                </c:pt>
                <c:pt idx="8">
                  <c:v>6.9295315268797548</c:v>
                </c:pt>
                <c:pt idx="9">
                  <c:v>6.9295315268797548</c:v>
                </c:pt>
                <c:pt idx="10">
                  <c:v>6.9295315268797548</c:v>
                </c:pt>
                <c:pt idx="11">
                  <c:v>6.9295315268797548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79-448F-834E-EE919C81612A}"/>
            </c:ext>
          </c:extLst>
        </c:ser>
        <c:ser>
          <c:idx val="8"/>
          <c:order val="8"/>
          <c:tx>
            <c:strRef>
              <c:f>'Balance (Optimized)'!$B$45:$B$48</c:f>
              <c:strCache>
                <c:ptCount val="1"/>
                <c:pt idx="0">
                  <c:v>Equilibrium</c:v>
                </c:pt>
              </c:strCache>
            </c:strRef>
          </c:tx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val>
            <c:numRef>
              <c:f>'Balance (Optimized)'!$F$48:$Q$48</c:f>
              <c:numCache>
                <c:formatCode>0.0_)</c:formatCode>
                <c:ptCount val="12"/>
                <c:pt idx="0">
                  <c:v>6.8783852717216112</c:v>
                </c:pt>
                <c:pt idx="1">
                  <c:v>6.319531206106932</c:v>
                </c:pt>
                <c:pt idx="2">
                  <c:v>5.8243260876541045</c:v>
                </c:pt>
                <c:pt idx="3">
                  <c:v>5.4144000304281219</c:v>
                </c:pt>
                <c:pt idx="4">
                  <c:v>4.8503086912256226</c:v>
                </c:pt>
                <c:pt idx="5">
                  <c:v>5.3073071259141065</c:v>
                </c:pt>
                <c:pt idx="6">
                  <c:v>6.2246081190113438</c:v>
                </c:pt>
                <c:pt idx="7">
                  <c:v>6.7363898071635253</c:v>
                </c:pt>
                <c:pt idx="8">
                  <c:v>6.9293362737343642</c:v>
                </c:pt>
                <c:pt idx="9">
                  <c:v>6.9293362737343642</c:v>
                </c:pt>
                <c:pt idx="10">
                  <c:v>6.9293362737343642</c:v>
                </c:pt>
                <c:pt idx="11">
                  <c:v>6.9293362737343642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579-448F-834E-EE919C816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227455"/>
        <c:axId val="12463056"/>
      </c:lineChart>
      <c:catAx>
        <c:axId val="1657063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 algn="ctr" rtl="0">
                  <a:defRPr lang="nl-NL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mm</a:t>
                </a:r>
              </a:p>
            </c:rich>
          </c:tx>
          <c:overlay val="0"/>
        </c:title>
        <c:numFmt formatCode="0_)" sourceLinked="1"/>
        <c:majorTickMark val="out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57063311"/>
        <c:crosses val="autoZero"/>
        <c:crossBetween val="between"/>
      </c:valAx>
      <c:valAx>
        <c:axId val="1246305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 algn="ctr" rtl="0">
                  <a:defRPr lang="nl-NL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EC (dS/m)</a:t>
                </a:r>
              </a:p>
            </c:rich>
          </c:tx>
          <c:overlay val="0"/>
        </c:title>
        <c:numFmt formatCode="0.0_)" sourceLinked="1"/>
        <c:majorTickMark val="out"/>
        <c:minorTickMark val="none"/>
        <c:tickLblPos val="nextTo"/>
        <c:txPr>
          <a:bodyPr/>
          <a:lstStyle/>
          <a:p>
            <a:pPr algn="ctr"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87227455"/>
        <c:crosses val="max"/>
        <c:crossBetween val="between"/>
      </c:valAx>
      <c:catAx>
        <c:axId val="9872274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6305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 algn="ctr">
            <a:defRPr lang="en-US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Soil EC (Manual Irrigation</a:t>
            </a:r>
            <a:r>
              <a:rPr lang="en-US" baseline="0"/>
              <a:t> Input)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(Manual)'!$B$51</c:f>
              <c:strCache>
                <c:ptCount val="1"/>
                <c:pt idx="0">
                  <c:v>Ecavg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 cap="flat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'Balance (Manual)'!$E$52:$E$58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1.8064549507575958</c:v>
                  </c:pt>
                  <c:pt idx="2">
                    <c:v>1.222238313703881</c:v>
                  </c:pt>
                  <c:pt idx="3">
                    <c:v>0.82696028199275284</c:v>
                  </c:pt>
                  <c:pt idx="4">
                    <c:v>0.55951715825463566</c:v>
                  </c:pt>
                  <c:pt idx="5">
                    <c:v>0.37856648886081201</c:v>
                  </c:pt>
                  <c:pt idx="6">
                    <c:v>0</c:v>
                  </c:pt>
                </c:numCache>
              </c:numRef>
            </c:plus>
            <c:minus>
              <c:numRef>
                <c:f>'Balance (Manual)'!$G$52:$G$58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0.51020693948527907</c:v>
                  </c:pt>
                  <c:pt idx="2">
                    <c:v>0.34520344340443243</c:v>
                  </c:pt>
                  <c:pt idx="3">
                    <c:v>0.23356290970580806</c:v>
                  </c:pt>
                  <c:pt idx="4">
                    <c:v>0.15802748736295813</c:v>
                  </c:pt>
                  <c:pt idx="5">
                    <c:v>0.106920601364767</c:v>
                  </c:pt>
                  <c:pt idx="6">
                    <c:v>0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</a:ln>
            </c:spPr>
          </c:errBars>
          <c:cat>
            <c:strRef>
              <c:f>'Balance (Manual)'!$C$52:$C$58</c:f>
              <c:strCache>
                <c:ptCount val="7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Equilibrium</c:v>
                </c:pt>
              </c:strCache>
            </c:strRef>
          </c:cat>
          <c:val>
            <c:numRef>
              <c:f>'Balance (Manual)'!$B$52:$B$58</c:f>
              <c:numCache>
                <c:formatCode>0.0_)</c:formatCode>
                <c:ptCount val="7"/>
                <c:pt idx="0">
                  <c:v>7.33</c:v>
                </c:pt>
                <c:pt idx="1">
                  <c:v>5.4696479904188742</c:v>
                </c:pt>
                <c:pt idx="2">
                  <c:v>3.7007362589140258</c:v>
                </c:pt>
                <c:pt idx="3">
                  <c:v>2.503899498108682</c:v>
                </c:pt>
                <c:pt idx="4">
                  <c:v>1.6941257787629231</c:v>
                </c:pt>
                <c:pt idx="5">
                  <c:v>1.1462369621612121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EE-4EBA-967B-2511D2302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063311"/>
        <c:axId val="1"/>
      </c:lineChart>
      <c:catAx>
        <c:axId val="165706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dS/m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5706331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Soil EC (Manual Irrigation Input</a:t>
            </a:r>
            <a:r>
              <a:rPr lang="en-US" baseline="0"/>
              <a:t>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(Manual)'!$C$14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strRef>
              <c:f>'Balance (Optimized)'!$F$13:$Q$13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(Manual)'!$F$14:$Q$14</c:f>
              <c:numCache>
                <c:formatCode>0_)</c:formatCode>
                <c:ptCount val="12"/>
                <c:pt idx="0">
                  <c:v>0</c:v>
                </c:pt>
                <c:pt idx="1">
                  <c:v>18.600000000000001</c:v>
                </c:pt>
                <c:pt idx="2">
                  <c:v>33.440000000000005</c:v>
                </c:pt>
                <c:pt idx="3">
                  <c:v>44.849999999999994</c:v>
                </c:pt>
                <c:pt idx="4">
                  <c:v>63.249999999999993</c:v>
                </c:pt>
                <c:pt idx="5">
                  <c:v>138</c:v>
                </c:pt>
                <c:pt idx="6">
                  <c:v>164.85</c:v>
                </c:pt>
                <c:pt idx="7">
                  <c:v>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FF4-923A-26CBE4CDB2F9}"/>
            </c:ext>
          </c:extLst>
        </c:ser>
        <c:ser>
          <c:idx val="1"/>
          <c:order val="1"/>
          <c:tx>
            <c:strRef>
              <c:f>'Balance (Manual)'!$C$15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'Balance (Optimized)'!$F$13:$Q$13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(Manual)'!$F$15:$Q$15</c:f>
              <c:numCache>
                <c:formatCode>0_)</c:formatCode>
                <c:ptCount val="12"/>
                <c:pt idx="0">
                  <c:v>4</c:v>
                </c:pt>
                <c:pt idx="1">
                  <c:v>62</c:v>
                </c:pt>
                <c:pt idx="2">
                  <c:v>30</c:v>
                </c:pt>
                <c:pt idx="3">
                  <c:v>87</c:v>
                </c:pt>
                <c:pt idx="4">
                  <c:v>79</c:v>
                </c:pt>
                <c:pt idx="5">
                  <c:v>7</c:v>
                </c:pt>
                <c:pt idx="6">
                  <c:v>59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FF4-923A-26CBE4CDB2F9}"/>
            </c:ext>
          </c:extLst>
        </c:ser>
        <c:ser>
          <c:idx val="2"/>
          <c:order val="2"/>
          <c:tx>
            <c:strRef>
              <c:f>'Balance (Manual)'!$C$18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'Balance (Optimized)'!$F$13:$Q$13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(Manual)'!$F$18:$Q$18</c:f>
              <c:numCache>
                <c:formatCode>0_)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FF4-923A-26CBE4CDB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7063311"/>
        <c:axId val="1"/>
      </c:barChart>
      <c:lineChart>
        <c:grouping val="standard"/>
        <c:varyColors val="0"/>
        <c:ser>
          <c:idx val="3"/>
          <c:order val="3"/>
          <c:tx>
            <c:strRef>
              <c:f>'Balance (Manual)'!$B$23:$B$26</c:f>
              <c:strCache>
                <c:ptCount val="1"/>
                <c:pt idx="0">
                  <c:v>Year 1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'Balance (Manual)'!$F$13:$Q$13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(Manual)'!$F$26:$Q$26</c:f>
              <c:numCache>
                <c:formatCode>0.0_)</c:formatCode>
                <c:ptCount val="12"/>
                <c:pt idx="0">
                  <c:v>7.2761029411764699</c:v>
                </c:pt>
                <c:pt idx="1">
                  <c:v>6.6849351670733421</c:v>
                </c:pt>
                <c:pt idx="2">
                  <c:v>6.1476644517937444</c:v>
                </c:pt>
                <c:pt idx="3">
                  <c:v>5.7025488344389288</c:v>
                </c:pt>
                <c:pt idx="4">
                  <c:v>5.1084371340088532</c:v>
                </c:pt>
                <c:pt idx="5">
                  <c:v>4.9594410509335951</c:v>
                </c:pt>
                <c:pt idx="6">
                  <c:v>4.9594410509335951</c:v>
                </c:pt>
                <c:pt idx="7">
                  <c:v>4.9594410509335951</c:v>
                </c:pt>
                <c:pt idx="8">
                  <c:v>4.9594410509335951</c:v>
                </c:pt>
                <c:pt idx="9">
                  <c:v>4.9594410509335951</c:v>
                </c:pt>
                <c:pt idx="10">
                  <c:v>4.9594410509335951</c:v>
                </c:pt>
                <c:pt idx="11">
                  <c:v>4.9594410509335951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6E-4FF4-923A-26CBE4CDB2F9}"/>
            </c:ext>
          </c:extLst>
        </c:ser>
        <c:ser>
          <c:idx val="4"/>
          <c:order val="4"/>
          <c:tx>
            <c:strRef>
              <c:f>'Balance (Manual)'!$B$27:$B$30</c:f>
              <c:strCache>
                <c:ptCount val="1"/>
                <c:pt idx="0">
                  <c:v>Year 2</c:v>
                </c:pt>
              </c:strCache>
            </c:strRef>
          </c:tx>
          <c:marker>
            <c:symbol val="none"/>
          </c:marker>
          <c:cat>
            <c:strRef>
              <c:f>'Balance (Manual)'!$F$13:$Q$13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(Manual)'!$F$30:$Q$30</c:f>
              <c:numCache>
                <c:formatCode>0.0_)</c:formatCode>
                <c:ptCount val="12"/>
                <c:pt idx="0">
                  <c:v>4.9229745726179068</c:v>
                </c:pt>
                <c:pt idx="1">
                  <c:v>4.5229934366184406</c:v>
                </c:pt>
                <c:pt idx="2">
                  <c:v>4.1594787789346617</c:v>
                </c:pt>
                <c:pt idx="3">
                  <c:v>3.8583157959713432</c:v>
                </c:pt>
                <c:pt idx="4">
                  <c:v>3.4563428142588091</c:v>
                </c:pt>
                <c:pt idx="5">
                  <c:v>3.3555328155095934</c:v>
                </c:pt>
                <c:pt idx="6">
                  <c:v>3.3555328155095934</c:v>
                </c:pt>
                <c:pt idx="7">
                  <c:v>3.3555328155095934</c:v>
                </c:pt>
                <c:pt idx="8">
                  <c:v>3.3555328155095934</c:v>
                </c:pt>
                <c:pt idx="9">
                  <c:v>3.3555328155095934</c:v>
                </c:pt>
                <c:pt idx="10">
                  <c:v>3.3555328155095934</c:v>
                </c:pt>
                <c:pt idx="11">
                  <c:v>3.3555328155095934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6E-4FF4-923A-26CBE4CDB2F9}"/>
            </c:ext>
          </c:extLst>
        </c:ser>
        <c:ser>
          <c:idx val="5"/>
          <c:order val="5"/>
          <c:tx>
            <c:strRef>
              <c:f>'Balance (Manual)'!$B$31:$B$34</c:f>
              <c:strCache>
                <c:ptCount val="1"/>
                <c:pt idx="0">
                  <c:v>Year 3</c:v>
                </c:pt>
              </c:strCache>
            </c:strRef>
          </c:tx>
          <c:marker>
            <c:symbol val="none"/>
          </c:marker>
          <c:cat>
            <c:strRef>
              <c:f>'Balance (Manual)'!$F$13:$Q$13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(Manual)'!$F$34:$Q$34</c:f>
              <c:numCache>
                <c:formatCode>0.0_)</c:formatCode>
                <c:ptCount val="12"/>
                <c:pt idx="0">
                  <c:v>3.3308597801014348</c:v>
                </c:pt>
                <c:pt idx="1">
                  <c:v>3.0602345597092371</c:v>
                </c:pt>
                <c:pt idx="2">
                  <c:v>2.8142823747251988</c:v>
                </c:pt>
                <c:pt idx="3">
                  <c:v>2.6105170185546807</c:v>
                </c:pt>
                <c:pt idx="4">
                  <c:v>2.3385441253935184</c:v>
                </c:pt>
                <c:pt idx="5">
                  <c:v>2.2703365884028739</c:v>
                </c:pt>
                <c:pt idx="6">
                  <c:v>2.2703365884028739</c:v>
                </c:pt>
                <c:pt idx="7">
                  <c:v>2.2703365884028739</c:v>
                </c:pt>
                <c:pt idx="8">
                  <c:v>2.2703365884028739</c:v>
                </c:pt>
                <c:pt idx="9">
                  <c:v>2.2703365884028739</c:v>
                </c:pt>
                <c:pt idx="10">
                  <c:v>2.2703365884028739</c:v>
                </c:pt>
                <c:pt idx="11">
                  <c:v>2.2703365884028739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6E-4FF4-923A-26CBE4CDB2F9}"/>
            </c:ext>
          </c:extLst>
        </c:ser>
        <c:ser>
          <c:idx val="6"/>
          <c:order val="6"/>
          <c:tx>
            <c:strRef>
              <c:f>'Balance (Manual)'!$B$35:$B$38</c:f>
              <c:strCache>
                <c:ptCount val="1"/>
                <c:pt idx="0">
                  <c:v>Year 4</c:v>
                </c:pt>
              </c:strCache>
            </c:strRef>
          </c:tx>
          <c:marker>
            <c:symbol val="none"/>
          </c:marker>
          <c:cat>
            <c:strRef>
              <c:f>'Balance (Manual)'!$F$13:$Q$13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(Manual)'!$F$38:$Q$38</c:f>
              <c:numCache>
                <c:formatCode>0.0_)</c:formatCode>
                <c:ptCount val="12"/>
                <c:pt idx="0">
                  <c:v>2.2536429370175588</c:v>
                </c:pt>
                <c:pt idx="1">
                  <c:v>2.0705392770678981</c:v>
                </c:pt>
                <c:pt idx="2">
                  <c:v>1.9041292685035518</c:v>
                </c:pt>
                <c:pt idx="3">
                  <c:v>1.7662626556590533</c:v>
                </c:pt>
                <c:pt idx="4">
                  <c:v>1.58224716710726</c:v>
                </c:pt>
                <c:pt idx="5">
                  <c:v>1.536098291399965</c:v>
                </c:pt>
                <c:pt idx="6">
                  <c:v>1.536098291399965</c:v>
                </c:pt>
                <c:pt idx="7">
                  <c:v>1.536098291399965</c:v>
                </c:pt>
                <c:pt idx="8">
                  <c:v>1.536098291399965</c:v>
                </c:pt>
                <c:pt idx="9">
                  <c:v>1.536098291399965</c:v>
                </c:pt>
                <c:pt idx="10">
                  <c:v>1.536098291399965</c:v>
                </c:pt>
                <c:pt idx="11">
                  <c:v>1.536098291399965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6E-4FF4-923A-26CBE4CDB2F9}"/>
            </c:ext>
          </c:extLst>
        </c:ser>
        <c:ser>
          <c:idx val="7"/>
          <c:order val="7"/>
          <c:tx>
            <c:strRef>
              <c:f>'Balance (Manual)'!$B$39:$B$42</c:f>
              <c:strCache>
                <c:ptCount val="1"/>
                <c:pt idx="0">
                  <c:v>Year 5</c:v>
                </c:pt>
              </c:strCache>
            </c:strRef>
          </c:tx>
          <c:marker>
            <c:symbol val="none"/>
          </c:marker>
          <c:cat>
            <c:strRef>
              <c:f>'Balance (Manual)'!$F$13:$Q$13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(Manual)'!$F$42:$Q$42</c:f>
              <c:numCache>
                <c:formatCode>0.0_)</c:formatCode>
                <c:ptCount val="12"/>
                <c:pt idx="0">
                  <c:v>1.5248034510220241</c:v>
                </c:pt>
                <c:pt idx="1">
                  <c:v>1.4009164376890726</c:v>
                </c:pt>
                <c:pt idx="2">
                  <c:v>1.2883242647340618</c:v>
                </c:pt>
                <c:pt idx="3">
                  <c:v>1.1950444094415413</c:v>
                </c:pt>
                <c:pt idx="4">
                  <c:v>1.0705404574727331</c:v>
                </c:pt>
                <c:pt idx="5">
                  <c:v>1.0393163607964451</c:v>
                </c:pt>
                <c:pt idx="6">
                  <c:v>1.0393163607964451</c:v>
                </c:pt>
                <c:pt idx="7">
                  <c:v>1.0393163607964451</c:v>
                </c:pt>
                <c:pt idx="8">
                  <c:v>1.0393163607964451</c:v>
                </c:pt>
                <c:pt idx="9">
                  <c:v>1.0393163607964451</c:v>
                </c:pt>
                <c:pt idx="10">
                  <c:v>1.0393163607964451</c:v>
                </c:pt>
                <c:pt idx="11">
                  <c:v>1.0393163607964451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6E-4FF4-923A-26CBE4CDB2F9}"/>
            </c:ext>
          </c:extLst>
        </c:ser>
        <c:ser>
          <c:idx val="8"/>
          <c:order val="8"/>
          <c:tx>
            <c:strRef>
              <c:f>'Balance (Manual)'!$B$45:$B$48</c:f>
              <c:strCache>
                <c:ptCount val="1"/>
                <c:pt idx="0">
                  <c:v>Equilibrium</c:v>
                </c:pt>
              </c:strCache>
            </c:strRef>
          </c:tx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strRef>
              <c:f>'Balance (Manual)'!$F$13:$Q$13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'Balance (Manual)'!$F$48:$Q$48</c:f>
              <c:numCache>
                <c:formatCode>0.0_)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6E-4FF4-923A-26CBE4CDB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227455"/>
        <c:axId val="12463056"/>
      </c:lineChart>
      <c:catAx>
        <c:axId val="1657063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 algn="ctr" rtl="0">
                  <a:defRPr lang="nl-NL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mm</a:t>
                </a:r>
              </a:p>
            </c:rich>
          </c:tx>
          <c:overlay val="0"/>
        </c:title>
        <c:numFmt formatCode="0_)" sourceLinked="1"/>
        <c:majorTickMark val="out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57063311"/>
        <c:crosses val="autoZero"/>
        <c:crossBetween val="between"/>
      </c:valAx>
      <c:valAx>
        <c:axId val="1246305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 algn="ctr" rtl="0">
                  <a:defRPr lang="nl-NL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EC (dS/m)</a:t>
                </a:r>
              </a:p>
            </c:rich>
          </c:tx>
          <c:overlay val="0"/>
        </c:title>
        <c:numFmt formatCode="0.0_)" sourceLinked="1"/>
        <c:majorTickMark val="out"/>
        <c:minorTickMark val="none"/>
        <c:tickLblPos val="nextTo"/>
        <c:txPr>
          <a:bodyPr/>
          <a:lstStyle/>
          <a:p>
            <a:pPr algn="ctr"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87227455"/>
        <c:crosses val="max"/>
        <c:crossBetween val="between"/>
      </c:valAx>
      <c:catAx>
        <c:axId val="9872274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6305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 algn="ctr">
            <a:defRPr lang="en-US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388467</xdr:colOff>
      <xdr:row>59</xdr:row>
      <xdr:rowOff>35446</xdr:rowOff>
    </xdr:from>
    <xdr:to>
      <xdr:col>7</xdr:col>
      <xdr:colOff>425823</xdr:colOff>
      <xdr:row>80</xdr:row>
      <xdr:rowOff>78441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34B73-08D4-429B-BF51-9A7514E4F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589926</xdr:colOff>
      <xdr:row>59</xdr:row>
      <xdr:rowOff>16160</xdr:rowOff>
    </xdr:from>
    <xdr:to>
      <xdr:col>17</xdr:col>
      <xdr:colOff>33617</xdr:colOff>
      <xdr:row>80</xdr:row>
      <xdr:rowOff>100853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4A8C56-02F6-52AA-8196-9180C0DC2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422013</xdr:colOff>
      <xdr:row>58</xdr:row>
      <xdr:rowOff>136488</xdr:rowOff>
    </xdr:from>
    <xdr:to>
      <xdr:col>7</xdr:col>
      <xdr:colOff>455559</xdr:colOff>
      <xdr:row>80</xdr:row>
      <xdr:rowOff>19463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893599-59E3-4BBC-8D62-DCDEE5069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649941</xdr:colOff>
      <xdr:row>59</xdr:row>
      <xdr:rowOff>13110</xdr:rowOff>
    </xdr:from>
    <xdr:to>
      <xdr:col>17</xdr:col>
      <xdr:colOff>87917</xdr:colOff>
      <xdr:row>80</xdr:row>
      <xdr:rowOff>92088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0BA136-1B82-43FA-B820-0E9D5F879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A3787-E033-41A4-94EC-0753E5799119}" name="Table1" displayName="Table1" ref="B4:F20" totalsRowShown="0" headerRowDxfId="6" dataDxfId="5">
  <autoFilter ref="B4:F20" xr:uid="{85FD0A2F-6A5D-40D1-BEFE-DC05419EB5E1}"/>
  <tableColumns count="5">
    <tableColumn id="1" xr3:uid="{00000000-0010-0000-0100-000001000000}" name="Parameter" dataDxfId="4"/>
    <tableColumn id="2" xr3:uid="{00000000-0010-0000-0100-000002000000}" name="Short English Definition" dataDxfId="3"/>
    <tableColumn id="3" xr3:uid="{00000000-0010-0000-0100-000003000000}" name="Formula (PDF / ILRI)" dataDxfId="2"/>
    <tableColumn id="6" xr3:uid="{C923EAB5-B82A-4F8D-A637-F4DF22303389}" name="Field Data Source" dataDxfId="1"/>
    <tableColumn id="4" xr3:uid="{00000000-0010-0000-0100-000004000000}" name="Excel 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01207F-C73D-41D3-86F7-1DCBF129AFA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72af573-1ff5-4880-8bd3-154328271cd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70E8-484C-49A5-B79F-56A5C869284B}">
  <dimension ref="B1:F20"/>
  <sheetViews>
    <sheetView zoomScale="85" zoomScaleNormal="85" workbookViewId="0">
      <selection activeCell="D2" sqref="D2"/>
    </sheetView>
  </sheetViews>
  <sheetFormatPr defaultColWidth="8.81640625" defaultRowHeight="13.2" x14ac:dyDescent="0.25"/>
  <cols>
    <col min="1" max="1" width="3.81640625" style="6" customWidth="1"/>
    <col min="2" max="2" width="27.90625" style="6" customWidth="1"/>
    <col min="3" max="3" width="60.1796875" style="6" customWidth="1"/>
    <col min="4" max="4" width="28.26953125" style="6" customWidth="1"/>
    <col min="5" max="5" width="40.54296875" style="6" customWidth="1"/>
    <col min="6" max="6" width="41" style="6" customWidth="1"/>
    <col min="7" max="7" width="46.6328125" style="6" customWidth="1"/>
    <col min="8" max="16384" width="8.81640625" style="6"/>
  </cols>
  <sheetData>
    <row r="1" spans="2:6" ht="18" customHeight="1" x14ac:dyDescent="0.25"/>
    <row r="2" spans="2:6" ht="409.6" customHeight="1" x14ac:dyDescent="0.25">
      <c r="B2" s="102" t="s">
        <v>86</v>
      </c>
      <c r="C2" s="103"/>
      <c r="D2" s="34"/>
      <c r="E2" s="102" t="s">
        <v>87</v>
      </c>
      <c r="F2" s="103"/>
    </row>
    <row r="3" spans="2:6" ht="16.2" customHeight="1" x14ac:dyDescent="0.25">
      <c r="B3" s="33"/>
    </row>
    <row r="4" spans="2:6" s="82" customFormat="1" ht="22.8" customHeight="1" x14ac:dyDescent="0.25">
      <c r="B4" s="86" t="s">
        <v>0</v>
      </c>
      <c r="C4" s="87" t="s">
        <v>1</v>
      </c>
      <c r="D4" s="87" t="s">
        <v>2</v>
      </c>
      <c r="E4" s="87" t="s">
        <v>3</v>
      </c>
      <c r="F4" s="87" t="s">
        <v>113</v>
      </c>
    </row>
    <row r="5" spans="2:6" s="82" customFormat="1" ht="28.2" customHeight="1" x14ac:dyDescent="0.25">
      <c r="B5" s="83" t="s">
        <v>4</v>
      </c>
      <c r="C5" s="84" t="s">
        <v>114</v>
      </c>
      <c r="D5" s="84" t="s">
        <v>5</v>
      </c>
      <c r="E5" s="84" t="s">
        <v>115</v>
      </c>
      <c r="F5" s="83" t="s">
        <v>88</v>
      </c>
    </row>
    <row r="6" spans="2:6" s="82" customFormat="1" ht="28.2" customHeight="1" x14ac:dyDescent="0.25">
      <c r="B6" s="83" t="s">
        <v>38</v>
      </c>
      <c r="C6" s="84" t="s">
        <v>116</v>
      </c>
      <c r="D6" s="84" t="s">
        <v>89</v>
      </c>
      <c r="E6" s="84" t="s">
        <v>90</v>
      </c>
      <c r="F6" s="83" t="s">
        <v>91</v>
      </c>
    </row>
    <row r="7" spans="2:6" s="82" customFormat="1" ht="28.2" customHeight="1" x14ac:dyDescent="0.25">
      <c r="B7" s="83" t="s">
        <v>6</v>
      </c>
      <c r="C7" s="84" t="s">
        <v>117</v>
      </c>
      <c r="D7" s="84" t="s">
        <v>7</v>
      </c>
      <c r="E7" s="84" t="s">
        <v>8</v>
      </c>
      <c r="F7" s="83" t="s">
        <v>92</v>
      </c>
    </row>
    <row r="8" spans="2:6" s="82" customFormat="1" ht="28.2" customHeight="1" x14ac:dyDescent="0.25">
      <c r="B8" s="83" t="s">
        <v>9</v>
      </c>
      <c r="C8" s="84" t="s">
        <v>118</v>
      </c>
      <c r="D8" s="84" t="s">
        <v>10</v>
      </c>
      <c r="E8" s="84" t="s">
        <v>8</v>
      </c>
      <c r="F8" s="83" t="s">
        <v>93</v>
      </c>
    </row>
    <row r="9" spans="2:6" s="82" customFormat="1" ht="28.2" customHeight="1" x14ac:dyDescent="0.25">
      <c r="B9" s="83" t="s">
        <v>16</v>
      </c>
      <c r="C9" s="84" t="s">
        <v>119</v>
      </c>
      <c r="D9" s="84" t="s">
        <v>120</v>
      </c>
      <c r="E9" s="84" t="s">
        <v>17</v>
      </c>
      <c r="F9" s="83" t="s">
        <v>94</v>
      </c>
    </row>
    <row r="10" spans="2:6" s="82" customFormat="1" ht="28.2" customHeight="1" x14ac:dyDescent="0.25">
      <c r="B10" s="83" t="s">
        <v>95</v>
      </c>
      <c r="C10" s="84" t="s">
        <v>121</v>
      </c>
      <c r="D10" s="84" t="s">
        <v>96</v>
      </c>
      <c r="E10" s="84" t="s">
        <v>97</v>
      </c>
      <c r="F10" s="83" t="s">
        <v>98</v>
      </c>
    </row>
    <row r="11" spans="2:6" s="82" customFormat="1" ht="28.2" customHeight="1" x14ac:dyDescent="0.25">
      <c r="B11" s="83" t="s">
        <v>11</v>
      </c>
      <c r="C11" s="84" t="s">
        <v>122</v>
      </c>
      <c r="D11" s="84" t="s">
        <v>12</v>
      </c>
      <c r="E11" s="84" t="s">
        <v>136</v>
      </c>
      <c r="F11" s="83" t="s">
        <v>99</v>
      </c>
    </row>
    <row r="12" spans="2:6" s="82" customFormat="1" ht="28.2" customHeight="1" x14ac:dyDescent="0.25">
      <c r="B12" s="83" t="s">
        <v>13</v>
      </c>
      <c r="C12" s="84" t="s">
        <v>123</v>
      </c>
      <c r="D12" s="84" t="s">
        <v>14</v>
      </c>
      <c r="E12" s="84" t="s">
        <v>137</v>
      </c>
      <c r="F12" s="83" t="s">
        <v>100</v>
      </c>
    </row>
    <row r="13" spans="2:6" s="82" customFormat="1" ht="28.2" customHeight="1" x14ac:dyDescent="0.25">
      <c r="B13" s="83" t="s">
        <v>15</v>
      </c>
      <c r="C13" s="84" t="s">
        <v>124</v>
      </c>
      <c r="D13" s="84" t="s">
        <v>15</v>
      </c>
      <c r="E13" s="84" t="s">
        <v>125</v>
      </c>
      <c r="F13" s="83" t="s">
        <v>101</v>
      </c>
    </row>
    <row r="14" spans="2:6" s="82" customFormat="1" ht="28.2" customHeight="1" x14ac:dyDescent="0.25">
      <c r="B14" s="83" t="s">
        <v>18</v>
      </c>
      <c r="C14" s="84" t="s">
        <v>126</v>
      </c>
      <c r="D14" s="84" t="s">
        <v>102</v>
      </c>
      <c r="E14" s="84" t="s">
        <v>127</v>
      </c>
      <c r="F14" s="83" t="s">
        <v>103</v>
      </c>
    </row>
    <row r="15" spans="2:6" s="82" customFormat="1" ht="28.2" customHeight="1" x14ac:dyDescent="0.25">
      <c r="B15" s="83" t="s">
        <v>19</v>
      </c>
      <c r="C15" s="84" t="s">
        <v>20</v>
      </c>
      <c r="D15" s="84" t="s">
        <v>21</v>
      </c>
      <c r="E15" s="84" t="s">
        <v>128</v>
      </c>
      <c r="F15" s="83" t="s">
        <v>104</v>
      </c>
    </row>
    <row r="16" spans="2:6" s="82" customFormat="1" ht="28.2" customHeight="1" x14ac:dyDescent="0.25">
      <c r="B16" s="83" t="s">
        <v>22</v>
      </c>
      <c r="C16" s="84" t="s">
        <v>129</v>
      </c>
      <c r="D16" s="84" t="s">
        <v>105</v>
      </c>
      <c r="E16" s="84" t="s">
        <v>23</v>
      </c>
      <c r="F16" s="83" t="s">
        <v>106</v>
      </c>
    </row>
    <row r="17" spans="2:6" s="82" customFormat="1" ht="28.2" customHeight="1" x14ac:dyDescent="0.25">
      <c r="B17" s="83" t="s">
        <v>24</v>
      </c>
      <c r="C17" s="84" t="s">
        <v>130</v>
      </c>
      <c r="D17" s="84" t="s">
        <v>107</v>
      </c>
      <c r="E17" s="84" t="s">
        <v>131</v>
      </c>
      <c r="F17" s="83" t="s">
        <v>108</v>
      </c>
    </row>
    <row r="18" spans="2:6" s="82" customFormat="1" ht="28.2" customHeight="1" x14ac:dyDescent="0.25">
      <c r="B18" s="83" t="s">
        <v>25</v>
      </c>
      <c r="C18" s="84" t="s">
        <v>132</v>
      </c>
      <c r="D18" s="84" t="s">
        <v>26</v>
      </c>
      <c r="E18" s="84" t="s">
        <v>27</v>
      </c>
      <c r="F18" s="83" t="s">
        <v>109</v>
      </c>
    </row>
    <row r="19" spans="2:6" s="82" customFormat="1" ht="28.2" customHeight="1" x14ac:dyDescent="0.25">
      <c r="B19" s="83" t="s">
        <v>28</v>
      </c>
      <c r="C19" s="84" t="s">
        <v>133</v>
      </c>
      <c r="D19" s="84" t="s">
        <v>29</v>
      </c>
      <c r="E19" s="84" t="s">
        <v>134</v>
      </c>
      <c r="F19" s="83" t="s">
        <v>110</v>
      </c>
    </row>
    <row r="20" spans="2:6" s="82" customFormat="1" ht="28.2" customHeight="1" x14ac:dyDescent="0.25">
      <c r="B20" s="82" t="s">
        <v>30</v>
      </c>
      <c r="C20" s="85" t="s">
        <v>135</v>
      </c>
      <c r="D20" s="85" t="s">
        <v>111</v>
      </c>
      <c r="E20" s="85" t="s">
        <v>31</v>
      </c>
      <c r="F20" s="82" t="s">
        <v>112</v>
      </c>
    </row>
  </sheetData>
  <mergeCells count="2">
    <mergeCell ref="B2:C2"/>
    <mergeCell ref="E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B927-A99A-4C04-BFBA-C415BDCABCCD}">
  <sheetPr transitionEvaluation="1"/>
  <dimension ref="B1:U64"/>
  <sheetViews>
    <sheetView tabSelected="1" defaultGridColor="0" topLeftCell="A11" colorId="22" zoomScaleNormal="100" workbookViewId="0">
      <selection activeCell="F94" sqref="F94"/>
    </sheetView>
  </sheetViews>
  <sheetFormatPr defaultColWidth="11.453125" defaultRowHeight="13.2" x14ac:dyDescent="0.25"/>
  <cols>
    <col min="1" max="1" width="5.1796875" style="6" customWidth="1"/>
    <col min="2" max="2" width="16.1796875" style="15" customWidth="1"/>
    <col min="3" max="3" width="15.81640625" style="6" customWidth="1"/>
    <col min="4" max="4" width="15" style="7" customWidth="1"/>
    <col min="5" max="5" width="11.54296875" style="7" customWidth="1"/>
    <col min="6" max="6" width="14.453125" style="6" customWidth="1"/>
    <col min="7" max="7" width="14.1796875" style="6" customWidth="1"/>
    <col min="8" max="8" width="16.6328125" style="6" customWidth="1"/>
    <col min="9" max="9" width="12.36328125" style="6" customWidth="1"/>
    <col min="10" max="10" width="9.90625" style="6" customWidth="1"/>
    <col min="11" max="11" width="10" style="6" customWidth="1"/>
    <col min="12" max="12" width="9.08984375" style="6" customWidth="1"/>
    <col min="13" max="13" width="9.81640625" style="6" customWidth="1"/>
    <col min="14" max="14" width="10.1796875" style="6" customWidth="1"/>
    <col min="15" max="15" width="8" style="6" customWidth="1"/>
    <col min="16" max="16" width="8.1796875" style="6" customWidth="1"/>
    <col min="17" max="17" width="10.1796875" style="6" customWidth="1"/>
    <col min="18" max="16384" width="11.453125" style="6"/>
  </cols>
  <sheetData>
    <row r="1" spans="2:18" ht="30.6" customHeight="1" x14ac:dyDescent="0.5">
      <c r="B1" s="56" t="s">
        <v>32</v>
      </c>
    </row>
    <row r="2" spans="2:18" ht="16.2" customHeight="1" x14ac:dyDescent="0.25">
      <c r="B2" s="57" t="s">
        <v>80</v>
      </c>
    </row>
    <row r="3" spans="2:18" x14ac:dyDescent="0.25">
      <c r="B3" s="6"/>
      <c r="H3" s="7"/>
    </row>
    <row r="4" spans="2:18" ht="26.4" x14ac:dyDescent="0.25">
      <c r="B4" s="94" t="s">
        <v>33</v>
      </c>
      <c r="C4" s="39" t="s">
        <v>4</v>
      </c>
      <c r="D4" s="44">
        <v>270</v>
      </c>
      <c r="E4" s="43" t="s">
        <v>34</v>
      </c>
      <c r="G4" s="99" t="s">
        <v>35</v>
      </c>
      <c r="H4" s="35" t="s">
        <v>36</v>
      </c>
      <c r="I4" s="36">
        <f>IF(AND(E16&gt;0, D8 &lt; 2*D6), E16 * 2*D6 / (2*D6 - D8), 0)</f>
        <v>431.1185628742515</v>
      </c>
      <c r="J4" s="37" t="s">
        <v>37</v>
      </c>
    </row>
    <row r="5" spans="2:18" ht="30" customHeight="1" x14ac:dyDescent="0.25">
      <c r="B5" s="95"/>
      <c r="C5" s="39" t="s">
        <v>38</v>
      </c>
      <c r="D5" s="45">
        <v>7.33</v>
      </c>
      <c r="E5" s="43" t="s">
        <v>39</v>
      </c>
      <c r="G5" s="100"/>
      <c r="H5" s="38" t="s">
        <v>40</v>
      </c>
      <c r="I5" s="36">
        <f>IF(AND(E16&gt;0, D8 &lt; 2*D6), E16 * D8 / (2*D6 - D8), 0)</f>
        <v>206.12856287425149</v>
      </c>
      <c r="J5" s="37" t="s">
        <v>37</v>
      </c>
    </row>
    <row r="6" spans="2:18" x14ac:dyDescent="0.25">
      <c r="B6" s="95"/>
      <c r="C6" s="46" t="s">
        <v>41</v>
      </c>
      <c r="D6" s="51">
        <v>8</v>
      </c>
      <c r="E6" s="22" t="s">
        <v>39</v>
      </c>
      <c r="G6" s="100"/>
      <c r="H6" s="39" t="s">
        <v>42</v>
      </c>
      <c r="I6" s="40">
        <f>I4-E18</f>
        <v>-201.77245508982043</v>
      </c>
      <c r="J6" s="41" t="s">
        <v>37</v>
      </c>
    </row>
    <row r="7" spans="2:18" ht="26.4" x14ac:dyDescent="0.25">
      <c r="B7" s="95"/>
      <c r="C7" s="39" t="s">
        <v>43</v>
      </c>
      <c r="D7" s="45">
        <v>18</v>
      </c>
      <c r="E7" s="43" t="s">
        <v>39</v>
      </c>
      <c r="G7" s="100"/>
      <c r="H7" s="42" t="s">
        <v>44</v>
      </c>
      <c r="I7" s="97" t="str">
        <f>IF(MAX(F26:Q26)&gt;$D$7, "Year 1", IF(MAX(F30:Q30)&gt;$D$7, "Year 2", IF(MAX(F34:Q34)&gt;$D$7, "Year 3", IF(MAX(F38:Q38)&gt;$D$7, "Year 4", IF(MAX(F42:Q42)&gt;$D$7, "Year 5", "Not happening")))))</f>
        <v>Not happening</v>
      </c>
      <c r="J7" s="98"/>
    </row>
    <row r="8" spans="2:18" ht="15" customHeight="1" x14ac:dyDescent="0.25">
      <c r="B8" s="95"/>
      <c r="C8" s="39" t="s">
        <v>16</v>
      </c>
      <c r="D8" s="45">
        <v>7.65</v>
      </c>
      <c r="E8" s="43" t="s">
        <v>39</v>
      </c>
      <c r="G8" s="100"/>
      <c r="H8" s="42" t="s">
        <v>45</v>
      </c>
      <c r="I8" s="40">
        <f>IFERROR(IF((Q29-Q25)/(Q25-F23)&gt;=1, "Never (accumulating)", ROUNDUP(LN(0.01)/LN((Q29-Q25)/(Q25-F23)), 0)), "N/A")</f>
        <v>4</v>
      </c>
      <c r="J8" s="53" t="s">
        <v>46</v>
      </c>
    </row>
    <row r="9" spans="2:18" x14ac:dyDescent="0.25">
      <c r="B9" s="95"/>
      <c r="C9" s="47" t="s">
        <v>47</v>
      </c>
      <c r="D9" s="104">
        <f>D8 / (2 * D6)</f>
        <v>0.47812500000000002</v>
      </c>
      <c r="E9" s="43"/>
      <c r="G9" s="101"/>
      <c r="H9" s="39" t="s">
        <v>48</v>
      </c>
      <c r="I9" s="55">
        <f>IF(MAX(F26:Q26)&lt;=$D$6, 1, IF(MAX(F30:Q30)&lt;=$D$6, 2, IF(MAX(F34:Q34)&lt;=$D$6, 3, IF(MAX(F38:Q38)&lt;=$D$6, 4, IF(MAX(F42:Q42)&lt;=$D$6, 5, "&gt; 5")))))</f>
        <v>1</v>
      </c>
      <c r="J9" s="53" t="s">
        <v>46</v>
      </c>
    </row>
    <row r="10" spans="2:18" x14ac:dyDescent="0.25">
      <c r="B10" s="96"/>
      <c r="C10" s="39" t="s">
        <v>49</v>
      </c>
      <c r="D10" s="105" t="s">
        <v>50</v>
      </c>
      <c r="E10" s="43"/>
      <c r="G10" s="21"/>
      <c r="H10" s="21"/>
    </row>
    <row r="11" spans="2:18" x14ac:dyDescent="0.25">
      <c r="B11" s="6"/>
      <c r="D11" s="6"/>
      <c r="E11" s="6"/>
      <c r="F11" s="21"/>
      <c r="G11" s="21"/>
    </row>
    <row r="12" spans="2:18" x14ac:dyDescent="0.25">
      <c r="B12" s="6"/>
      <c r="D12" s="9"/>
      <c r="F12" s="10"/>
      <c r="H12" s="7"/>
    </row>
    <row r="13" spans="2:18" ht="13.8" thickBot="1" x14ac:dyDescent="0.3">
      <c r="B13" s="94" t="s">
        <v>51</v>
      </c>
      <c r="C13" s="29" t="s">
        <v>52</v>
      </c>
      <c r="D13" s="30"/>
      <c r="E13" s="31" t="s">
        <v>53</v>
      </c>
      <c r="F13" s="29" t="s">
        <v>54</v>
      </c>
      <c r="G13" s="29" t="s">
        <v>55</v>
      </c>
      <c r="H13" s="29" t="s">
        <v>56</v>
      </c>
      <c r="I13" s="29" t="s">
        <v>57</v>
      </c>
      <c r="J13" s="29" t="s">
        <v>58</v>
      </c>
      <c r="K13" s="29" t="s">
        <v>59</v>
      </c>
      <c r="L13" s="29" t="s">
        <v>60</v>
      </c>
      <c r="M13" s="29" t="s">
        <v>61</v>
      </c>
      <c r="N13" s="29" t="s">
        <v>62</v>
      </c>
      <c r="O13" s="29" t="s">
        <v>63</v>
      </c>
      <c r="P13" s="29" t="s">
        <v>64</v>
      </c>
      <c r="Q13" s="32" t="s">
        <v>65</v>
      </c>
    </row>
    <row r="14" spans="2:18" x14ac:dyDescent="0.25">
      <c r="B14" s="95"/>
      <c r="C14" s="4" t="s">
        <v>11</v>
      </c>
      <c r="D14" s="3" t="s">
        <v>34</v>
      </c>
      <c r="E14" s="3">
        <f>SUM(F14:Q14)</f>
        <v>561.99</v>
      </c>
      <c r="F14" s="88">
        <v>0</v>
      </c>
      <c r="G14" s="89">
        <v>18.600000000000001</v>
      </c>
      <c r="H14" s="89">
        <v>33.440000000000005</v>
      </c>
      <c r="I14" s="89">
        <v>44.849999999999994</v>
      </c>
      <c r="J14" s="89">
        <v>63.249999999999993</v>
      </c>
      <c r="K14" s="89">
        <v>138</v>
      </c>
      <c r="L14" s="89">
        <v>164.85</v>
      </c>
      <c r="M14" s="89">
        <v>99</v>
      </c>
      <c r="N14" s="89">
        <v>0</v>
      </c>
      <c r="O14" s="89">
        <v>0</v>
      </c>
      <c r="P14" s="89">
        <v>0</v>
      </c>
      <c r="Q14" s="90">
        <v>0</v>
      </c>
    </row>
    <row r="15" spans="2:18" x14ac:dyDescent="0.25">
      <c r="B15" s="95"/>
      <c r="C15" s="4" t="s">
        <v>13</v>
      </c>
      <c r="D15" s="3" t="s">
        <v>34</v>
      </c>
      <c r="E15" s="3">
        <f>SUM(F15:Q15)</f>
        <v>337</v>
      </c>
      <c r="F15" s="91">
        <v>4</v>
      </c>
      <c r="G15" s="92">
        <v>62</v>
      </c>
      <c r="H15" s="92">
        <v>30</v>
      </c>
      <c r="I15" s="92">
        <v>87</v>
      </c>
      <c r="J15" s="92">
        <v>79</v>
      </c>
      <c r="K15" s="92">
        <v>7</v>
      </c>
      <c r="L15" s="92">
        <v>59</v>
      </c>
      <c r="M15" s="92">
        <v>9</v>
      </c>
      <c r="N15" s="92">
        <v>0</v>
      </c>
      <c r="O15" s="92">
        <v>0</v>
      </c>
      <c r="P15" s="92">
        <v>0</v>
      </c>
      <c r="Q15" s="93">
        <v>0</v>
      </c>
    </row>
    <row r="16" spans="2:18" x14ac:dyDescent="0.25">
      <c r="B16" s="95"/>
      <c r="C16" s="4" t="s">
        <v>66</v>
      </c>
      <c r="D16" s="3" t="s">
        <v>34</v>
      </c>
      <c r="E16" s="3">
        <f>SUM(F16:Q16)</f>
        <v>224.98999999999998</v>
      </c>
      <c r="F16" s="4">
        <f t="shared" ref="F16:Q16" si="0">F14-F15</f>
        <v>-4</v>
      </c>
      <c r="G16" s="4">
        <f t="shared" si="0"/>
        <v>-43.4</v>
      </c>
      <c r="H16" s="4">
        <f t="shared" si="0"/>
        <v>3.4400000000000048</v>
      </c>
      <c r="I16" s="4">
        <f t="shared" si="0"/>
        <v>-42.150000000000006</v>
      </c>
      <c r="J16" s="4">
        <f t="shared" si="0"/>
        <v>-15.750000000000007</v>
      </c>
      <c r="K16" s="4">
        <f t="shared" si="0"/>
        <v>131</v>
      </c>
      <c r="L16" s="4">
        <f t="shared" si="0"/>
        <v>105.85</v>
      </c>
      <c r="M16" s="4">
        <f t="shared" si="0"/>
        <v>90</v>
      </c>
      <c r="N16" s="4">
        <f t="shared" si="0"/>
        <v>0</v>
      </c>
      <c r="O16" s="4">
        <f t="shared" si="0"/>
        <v>0</v>
      </c>
      <c r="P16" s="4">
        <f t="shared" si="0"/>
        <v>0</v>
      </c>
      <c r="Q16" s="1">
        <f t="shared" si="0"/>
        <v>0</v>
      </c>
      <c r="R16" s="6" t="s">
        <v>67</v>
      </c>
    </row>
    <row r="17" spans="2:21" ht="17.399999999999999" x14ac:dyDescent="0.3">
      <c r="B17" s="95"/>
      <c r="C17" s="4" t="s">
        <v>68</v>
      </c>
      <c r="D17" s="3" t="s">
        <v>69</v>
      </c>
      <c r="E17" s="3"/>
      <c r="F17" s="4">
        <f>$D$8*F16</f>
        <v>-30.6</v>
      </c>
      <c r="G17" s="4">
        <f>$D$8*G16</f>
        <v>-332.01</v>
      </c>
      <c r="H17" s="4">
        <f>$D$8*H16</f>
        <v>26.316000000000038</v>
      </c>
      <c r="I17" s="4">
        <f t="shared" ref="I17:Q17" si="1">$D$8*I16</f>
        <v>-322.44750000000005</v>
      </c>
      <c r="J17" s="4">
        <f t="shared" si="1"/>
        <v>-120.48750000000005</v>
      </c>
      <c r="K17" s="4">
        <f t="shared" si="1"/>
        <v>1002.1500000000001</v>
      </c>
      <c r="L17" s="4">
        <f t="shared" si="1"/>
        <v>809.75249999999994</v>
      </c>
      <c r="M17" s="4">
        <f t="shared" si="1"/>
        <v>688.5</v>
      </c>
      <c r="N17" s="4">
        <f t="shared" si="1"/>
        <v>0</v>
      </c>
      <c r="O17" s="4">
        <f t="shared" si="1"/>
        <v>0</v>
      </c>
      <c r="P17" s="4">
        <f t="shared" si="1"/>
        <v>0</v>
      </c>
      <c r="Q17" s="1">
        <f t="shared" si="1"/>
        <v>0</v>
      </c>
      <c r="T17" s="19"/>
      <c r="U17" s="20"/>
    </row>
    <row r="18" spans="2:21" x14ac:dyDescent="0.25">
      <c r="B18" s="95"/>
      <c r="C18" s="4" t="s">
        <v>18</v>
      </c>
      <c r="D18" s="3" t="s">
        <v>34</v>
      </c>
      <c r="E18" s="3">
        <f>SUM(F18:Q18)</f>
        <v>632.89101796407192</v>
      </c>
      <c r="F18" s="4">
        <f>IF(AND(F16&gt;0, $D$8 &lt; 2*$D$6), F16 / (1 - ($D$8 / (2*$D$6))), 0)</f>
        <v>0</v>
      </c>
      <c r="G18" s="4">
        <f>IF(AND(G16&gt;0, $D$8 &lt; 2*$D$6), G16 / (1 - ($D$8 / (2*$D$6))), 0)</f>
        <v>0</v>
      </c>
      <c r="H18" s="4">
        <f t="shared" ref="H18:Q18" si="2">IF(AND(H16&gt;0, $D$8 &lt; 2*$D$6), H16 / (1 - ($D$8 / (2*$D$6))), 0)</f>
        <v>6.5916167664670757</v>
      </c>
      <c r="I18" s="4">
        <f t="shared" si="2"/>
        <v>0</v>
      </c>
      <c r="J18" s="4">
        <f>IF(AND(J16&gt;0, $D$8 &lt; 2*$D$6), J16 / (1 - ($D$8 / (2*$D$6))), 0)</f>
        <v>0</v>
      </c>
      <c r="K18" s="4">
        <f>IF(AND(K16&gt;0, $D$8 &lt; 2*$D$6), K16 / (1 - ($D$8 / (2*$D$6))), 0)</f>
        <v>251.01796407185631</v>
      </c>
      <c r="L18" s="4">
        <f t="shared" si="2"/>
        <v>202.82634730538922</v>
      </c>
      <c r="M18" s="4">
        <f>IF(AND(M16&gt;0, $D$8 &lt; 2*$D$6), M16 / (1 - ($D$8 / (2*$D$6))), 0)</f>
        <v>172.45508982035929</v>
      </c>
      <c r="N18" s="4">
        <f t="shared" si="2"/>
        <v>0</v>
      </c>
      <c r="O18" s="4">
        <f t="shared" si="2"/>
        <v>0</v>
      </c>
      <c r="P18" s="4">
        <f t="shared" si="2"/>
        <v>0</v>
      </c>
      <c r="Q18" s="1">
        <f t="shared" si="2"/>
        <v>0</v>
      </c>
    </row>
    <row r="19" spans="2:21" x14ac:dyDescent="0.25">
      <c r="B19" s="95"/>
      <c r="C19" s="4" t="s">
        <v>19</v>
      </c>
      <c r="D19" s="3" t="s">
        <v>34</v>
      </c>
      <c r="E19" s="3">
        <f>SUM(F19:Q19)</f>
        <v>0</v>
      </c>
      <c r="F19" s="48">
        <v>0</v>
      </c>
      <c r="G19" s="49">
        <v>0</v>
      </c>
      <c r="H19" s="49">
        <v>0</v>
      </c>
      <c r="I19" s="49">
        <v>0</v>
      </c>
      <c r="J19" s="49">
        <v>0</v>
      </c>
      <c r="K19" s="49">
        <v>0</v>
      </c>
      <c r="L19" s="49">
        <v>0</v>
      </c>
      <c r="M19" s="49">
        <v>0</v>
      </c>
      <c r="N19" s="49">
        <v>0</v>
      </c>
      <c r="O19" s="49">
        <v>0</v>
      </c>
      <c r="P19" s="49">
        <v>0</v>
      </c>
      <c r="Q19" s="50">
        <v>0</v>
      </c>
    </row>
    <row r="20" spans="2:21" x14ac:dyDescent="0.25">
      <c r="B20" s="96"/>
      <c r="C20" s="8" t="s">
        <v>22</v>
      </c>
      <c r="D20" s="17" t="s">
        <v>34</v>
      </c>
      <c r="E20" s="17">
        <f>SUM(F20:Q20)</f>
        <v>407.90101796407191</v>
      </c>
      <c r="F20" s="8">
        <f>MAX(0,F18-F$16-F19)</f>
        <v>4</v>
      </c>
      <c r="G20" s="8">
        <f t="shared" ref="G20:Q20" si="3">MAX(0,G18-G$16-G19)</f>
        <v>43.4</v>
      </c>
      <c r="H20" s="8">
        <f>MAX(0,H18-H$16-H19)</f>
        <v>3.1516167664670709</v>
      </c>
      <c r="I20" s="8">
        <f>MAX(0,I18-I$16-I19)</f>
        <v>42.150000000000006</v>
      </c>
      <c r="J20" s="8">
        <f>MAX(0,J18-J$16-J19)</f>
        <v>15.750000000000007</v>
      </c>
      <c r="K20" s="8">
        <f t="shared" si="3"/>
        <v>120.01796407185631</v>
      </c>
      <c r="L20" s="8">
        <f t="shared" si="3"/>
        <v>96.976347305389226</v>
      </c>
      <c r="M20" s="8">
        <f t="shared" si="3"/>
        <v>82.455089820359291</v>
      </c>
      <c r="N20" s="8">
        <f t="shared" si="3"/>
        <v>0</v>
      </c>
      <c r="O20" s="8">
        <f t="shared" si="3"/>
        <v>0</v>
      </c>
      <c r="P20" s="8">
        <f t="shared" si="3"/>
        <v>0</v>
      </c>
      <c r="Q20" s="18">
        <f t="shared" si="3"/>
        <v>0</v>
      </c>
    </row>
    <row r="21" spans="2:21" x14ac:dyDescent="0.25">
      <c r="B21" s="16"/>
    </row>
    <row r="22" spans="2:21" ht="17.399999999999999" x14ac:dyDescent="0.25">
      <c r="B22" s="11" t="s">
        <v>70</v>
      </c>
      <c r="C22" s="9"/>
    </row>
    <row r="23" spans="2:21" ht="15" customHeight="1" x14ac:dyDescent="0.25">
      <c r="B23" s="94" t="s">
        <v>71</v>
      </c>
      <c r="C23" s="5" t="s">
        <v>24</v>
      </c>
      <c r="D23" s="12" t="s">
        <v>69</v>
      </c>
      <c r="E23" s="12"/>
      <c r="F23" s="13">
        <f>2*D4*D5</f>
        <v>3958.2</v>
      </c>
      <c r="G23" s="5">
        <f>F25</f>
        <v>3899.991176470588</v>
      </c>
      <c r="H23" s="5">
        <f>G25</f>
        <v>3319.7388039686221</v>
      </c>
      <c r="I23" s="5">
        <f t="shared" ref="I23:Q23" si="4">H25</f>
        <v>3331.3467596809746</v>
      </c>
      <c r="J23" s="5">
        <f t="shared" si="4"/>
        <v>2848.9409676323512</v>
      </c>
      <c r="K23" s="5">
        <f>J25</f>
        <v>2687.4625322199913</v>
      </c>
      <c r="L23" s="5">
        <f t="shared" si="4"/>
        <v>3281.1852301453737</v>
      </c>
      <c r="M23" s="5">
        <f t="shared" si="4"/>
        <v>3597.4935588095514</v>
      </c>
      <c r="N23" s="5">
        <f t="shared" si="4"/>
        <v>3788.9108497223456</v>
      </c>
      <c r="O23" s="5">
        <f t="shared" si="4"/>
        <v>3788.9108497223456</v>
      </c>
      <c r="P23" s="5">
        <f t="shared" si="4"/>
        <v>3788.9108497223456</v>
      </c>
      <c r="Q23" s="14">
        <f t="shared" si="4"/>
        <v>3788.9108497223456</v>
      </c>
    </row>
    <row r="24" spans="2:21" x14ac:dyDescent="0.25">
      <c r="B24" s="95"/>
      <c r="C24" s="4" t="s">
        <v>25</v>
      </c>
      <c r="D24" s="3" t="s">
        <v>69</v>
      </c>
      <c r="E24" s="3">
        <f>SUM(F24:Q24)</f>
        <v>-169.28915027765512</v>
      </c>
      <c r="F24" s="4">
        <f>((F$18*$D$8)-(F$20*F23/$D$4))/(1+(F$20/(2*$D$4)))</f>
        <v>-58.208823529411774</v>
      </c>
      <c r="G24" s="4">
        <f>((G$18*$D$8)-(G$20*G23/$D$4))/(1+(G$20/(2*$D$4)))</f>
        <v>-580.25237250196608</v>
      </c>
      <c r="H24" s="4">
        <f>((H$18*$D$8)-(H$20*H23/$D$4))/(1+(H$20/(2*$D$4)))</f>
        <v>11.607955712352467</v>
      </c>
      <c r="I24" s="4">
        <f>((I$18*$D$8)-(I$20*I23/$D$4))/(1+(I$20/(2*$D$4)))</f>
        <v>-482.4057920486236</v>
      </c>
      <c r="J24" s="4">
        <f>((J$18*$D$8)-(J$20*J23/$D$4))/(1+(J$20/(2*$D$4)))</f>
        <v>-161.47843541236003</v>
      </c>
      <c r="K24" s="4">
        <f t="shared" ref="K24:Q24" si="5">((K$18*$D$8)-(K$20*K23/$D$4))/(1+(K$20/(2*$D$4)))</f>
        <v>593.72269792538225</v>
      </c>
      <c r="L24" s="4">
        <f t="shared" si="5"/>
        <v>316.30832866417768</v>
      </c>
      <c r="M24" s="4">
        <f t="shared" si="5"/>
        <v>191.41729091279413</v>
      </c>
      <c r="N24" s="4">
        <f t="shared" si="5"/>
        <v>0</v>
      </c>
      <c r="O24" s="4">
        <f t="shared" si="5"/>
        <v>0</v>
      </c>
      <c r="P24" s="4">
        <f t="shared" si="5"/>
        <v>0</v>
      </c>
      <c r="Q24" s="1">
        <f t="shared" si="5"/>
        <v>0</v>
      </c>
    </row>
    <row r="25" spans="2:21" x14ac:dyDescent="0.25">
      <c r="B25" s="95"/>
      <c r="C25" s="4" t="s">
        <v>28</v>
      </c>
      <c r="D25" s="3" t="s">
        <v>69</v>
      </c>
      <c r="E25" s="3"/>
      <c r="F25" s="4">
        <f>F23+F24</f>
        <v>3899.991176470588</v>
      </c>
      <c r="G25" s="4">
        <f>G23+G24</f>
        <v>3319.7388039686221</v>
      </c>
      <c r="H25" s="4">
        <f t="shared" ref="H25:Q25" si="6">H23+H24</f>
        <v>3331.3467596809746</v>
      </c>
      <c r="I25" s="4">
        <f t="shared" si="6"/>
        <v>2848.9409676323512</v>
      </c>
      <c r="J25" s="4">
        <f t="shared" si="6"/>
        <v>2687.4625322199913</v>
      </c>
      <c r="K25" s="4">
        <f t="shared" si="6"/>
        <v>3281.1852301453737</v>
      </c>
      <c r="L25" s="4">
        <f t="shared" si="6"/>
        <v>3597.4935588095514</v>
      </c>
      <c r="M25" s="4">
        <f t="shared" si="6"/>
        <v>3788.9108497223456</v>
      </c>
      <c r="N25" s="4">
        <f t="shared" si="6"/>
        <v>3788.9108497223456</v>
      </c>
      <c r="O25" s="4">
        <f t="shared" si="6"/>
        <v>3788.9108497223456</v>
      </c>
      <c r="P25" s="4">
        <f t="shared" si="6"/>
        <v>3788.9108497223456</v>
      </c>
      <c r="Q25" s="2">
        <f t="shared" si="6"/>
        <v>3788.9108497223456</v>
      </c>
    </row>
    <row r="26" spans="2:21" x14ac:dyDescent="0.25">
      <c r="B26" s="96"/>
      <c r="C26" s="23" t="s">
        <v>30</v>
      </c>
      <c r="D26" s="24" t="s">
        <v>39</v>
      </c>
      <c r="E26" s="25">
        <f>AVERAGEA(F26:Q26)</f>
        <v>6.4807651007219134</v>
      </c>
      <c r="F26" s="26">
        <f>(F23+F25)/(2*2*$D$4)</f>
        <v>7.2761029411764699</v>
      </c>
      <c r="G26" s="26">
        <f t="shared" ref="G26:Q26" si="7">(G23+G25)/(2*2*$D$4)</f>
        <v>6.6849351670733421</v>
      </c>
      <c r="H26" s="26">
        <f t="shared" si="7"/>
        <v>6.1584125589348115</v>
      </c>
      <c r="I26" s="26">
        <f t="shared" si="7"/>
        <v>5.7224886364012271</v>
      </c>
      <c r="J26" s="26">
        <f t="shared" si="7"/>
        <v>5.1262995369003166</v>
      </c>
      <c r="K26" s="26">
        <f t="shared" si="7"/>
        <v>5.5265257058938557</v>
      </c>
      <c r="L26" s="26">
        <f t="shared" si="7"/>
        <v>6.3691470268101158</v>
      </c>
      <c r="M26" s="26">
        <f t="shared" si="7"/>
        <v>6.8392633412332371</v>
      </c>
      <c r="N26" s="26">
        <f t="shared" si="7"/>
        <v>7.016501573559899</v>
      </c>
      <c r="O26" s="26">
        <f t="shared" si="7"/>
        <v>7.016501573559899</v>
      </c>
      <c r="P26" s="26">
        <f t="shared" si="7"/>
        <v>7.016501573559899</v>
      </c>
      <c r="Q26" s="27">
        <f t="shared" si="7"/>
        <v>7.016501573559899</v>
      </c>
      <c r="R26" s="58"/>
      <c r="S26" s="58"/>
    </row>
    <row r="27" spans="2:21" ht="15" customHeight="1" x14ac:dyDescent="0.25">
      <c r="B27" s="94" t="s">
        <v>72</v>
      </c>
      <c r="C27" s="5" t="s">
        <v>24</v>
      </c>
      <c r="D27" s="12" t="s">
        <v>69</v>
      </c>
      <c r="E27" s="12"/>
      <c r="F27" s="13">
        <f>Q25</f>
        <v>3788.9108497223456</v>
      </c>
      <c r="G27" s="5">
        <f>F29</f>
        <v>3733.1915725205463</v>
      </c>
      <c r="H27" s="5">
        <f>G29</f>
        <v>3177.7561448640781</v>
      </c>
      <c r="I27" s="5">
        <f t="shared" ref="I27:P27" si="8">H29</f>
        <v>3191.0117986230475</v>
      </c>
      <c r="J27" s="5">
        <f t="shared" si="8"/>
        <v>2728.927637111542</v>
      </c>
      <c r="K27" s="5">
        <f>J29</f>
        <v>2574.2515767084587</v>
      </c>
      <c r="L27" s="5">
        <f t="shared" si="8"/>
        <v>3209.1469369877536</v>
      </c>
      <c r="M27" s="5">
        <f t="shared" si="8"/>
        <v>3547.3901791415574</v>
      </c>
      <c r="N27" s="5">
        <f t="shared" si="8"/>
        <v>3752.0816122001579</v>
      </c>
      <c r="O27" s="5">
        <f t="shared" si="8"/>
        <v>3752.0816122001579</v>
      </c>
      <c r="P27" s="5">
        <f t="shared" si="8"/>
        <v>3752.0816122001579</v>
      </c>
      <c r="Q27" s="14">
        <f>P29</f>
        <v>3752.0816122001579</v>
      </c>
    </row>
    <row r="28" spans="2:21" x14ac:dyDescent="0.25">
      <c r="B28" s="95"/>
      <c r="C28" s="4" t="s">
        <v>25</v>
      </c>
      <c r="D28" s="3" t="s">
        <v>69</v>
      </c>
      <c r="E28" s="3">
        <f>SUM(F28:Q28)</f>
        <v>-36.829237522187753</v>
      </c>
      <c r="F28" s="4">
        <f t="shared" ref="F28:Q28" si="9">((F$18*$D$8)-(F$20*F27/$D$4))/(1+(F$20/(2*$D$4)))</f>
        <v>-55.719277201799201</v>
      </c>
      <c r="G28" s="4">
        <f t="shared" si="9"/>
        <v>-555.43542765646794</v>
      </c>
      <c r="H28" s="4">
        <f>((H$18*$D$8)-(H$20*H27/$D$4))/(1+(H$20/(2*$D$4)))</f>
        <v>13.255653758969364</v>
      </c>
      <c r="I28" s="4">
        <f>((I$18*$D$8)-(I$20*I27/$D$4))/(1+(I$20/(2*$D$4)))</f>
        <v>-462.08416151150556</v>
      </c>
      <c r="J28" s="4">
        <f>((J$18*$D$8)-(J$20*J27/$D$4))/(1+(J$20/(2*$D$4)))</f>
        <v>-154.6760604030834</v>
      </c>
      <c r="K28" s="4">
        <f t="shared" si="9"/>
        <v>634.89536027929489</v>
      </c>
      <c r="L28" s="4">
        <f t="shared" si="9"/>
        <v>338.24324215380364</v>
      </c>
      <c r="M28" s="4">
        <f t="shared" si="9"/>
        <v>204.69143305860055</v>
      </c>
      <c r="N28" s="4">
        <f t="shared" si="9"/>
        <v>0</v>
      </c>
      <c r="O28" s="4">
        <f t="shared" si="9"/>
        <v>0</v>
      </c>
      <c r="P28" s="4">
        <f t="shared" si="9"/>
        <v>0</v>
      </c>
      <c r="Q28" s="1">
        <f t="shared" si="9"/>
        <v>0</v>
      </c>
    </row>
    <row r="29" spans="2:21" x14ac:dyDescent="0.25">
      <c r="B29" s="95"/>
      <c r="C29" s="4" t="s">
        <v>28</v>
      </c>
      <c r="D29" s="3" t="s">
        <v>69</v>
      </c>
      <c r="E29" s="3"/>
      <c r="F29" s="4">
        <f t="shared" ref="F29:Q29" si="10">F27+F28</f>
        <v>3733.1915725205463</v>
      </c>
      <c r="G29" s="4">
        <f>G27+G28</f>
        <v>3177.7561448640781</v>
      </c>
      <c r="H29" s="4">
        <f>H27+H28</f>
        <v>3191.0117986230475</v>
      </c>
      <c r="I29" s="4">
        <f t="shared" si="10"/>
        <v>2728.927637111542</v>
      </c>
      <c r="J29" s="4">
        <f t="shared" si="10"/>
        <v>2574.2515767084587</v>
      </c>
      <c r="K29" s="4">
        <f t="shared" si="10"/>
        <v>3209.1469369877536</v>
      </c>
      <c r="L29" s="4">
        <f t="shared" si="10"/>
        <v>3547.3901791415574</v>
      </c>
      <c r="M29" s="4">
        <f>M27+M28</f>
        <v>3752.0816122001579</v>
      </c>
      <c r="N29" s="4">
        <f t="shared" si="10"/>
        <v>3752.0816122001579</v>
      </c>
      <c r="O29" s="4">
        <f t="shared" si="10"/>
        <v>3752.0816122001579</v>
      </c>
      <c r="P29" s="4">
        <f t="shared" si="10"/>
        <v>3752.0816122001579</v>
      </c>
      <c r="Q29" s="2">
        <f t="shared" si="10"/>
        <v>3752.0816122001579</v>
      </c>
    </row>
    <row r="30" spans="2:21" x14ac:dyDescent="0.25">
      <c r="B30" s="96"/>
      <c r="C30" s="23" t="s">
        <v>30</v>
      </c>
      <c r="D30" s="24" t="s">
        <v>39</v>
      </c>
      <c r="E30" s="25">
        <f>AVERAGEA(F30:Q30)</f>
        <v>6.3179781675492075</v>
      </c>
      <c r="F30" s="26">
        <f t="shared" ref="F30:Q30" si="11">(F27+F29)/(2*2*$D$4)</f>
        <v>6.9649096502248993</v>
      </c>
      <c r="G30" s="26">
        <f t="shared" si="11"/>
        <v>6.3990256642450225</v>
      </c>
      <c r="H30" s="26">
        <f t="shared" si="11"/>
        <v>5.8970073550806728</v>
      </c>
      <c r="I30" s="26">
        <f t="shared" si="11"/>
        <v>5.4814254034579539</v>
      </c>
      <c r="J30" s="26">
        <f t="shared" si="11"/>
        <v>4.9103511239074082</v>
      </c>
      <c r="K30" s="26">
        <f t="shared" si="11"/>
        <v>5.35499862379279</v>
      </c>
      <c r="L30" s="26">
        <f t="shared" si="11"/>
        <v>6.2560528853049178</v>
      </c>
      <c r="M30" s="26">
        <f t="shared" si="11"/>
        <v>6.7587701771682545</v>
      </c>
      <c r="N30" s="26">
        <f t="shared" si="11"/>
        <v>6.9482992818521438</v>
      </c>
      <c r="O30" s="26">
        <f t="shared" si="11"/>
        <v>6.9482992818521438</v>
      </c>
      <c r="P30" s="26">
        <f t="shared" si="11"/>
        <v>6.9482992818521438</v>
      </c>
      <c r="Q30" s="27">
        <f t="shared" si="11"/>
        <v>6.9482992818521438</v>
      </c>
      <c r="R30" s="58"/>
      <c r="S30" s="58"/>
    </row>
    <row r="31" spans="2:21" ht="15" customHeight="1" x14ac:dyDescent="0.25">
      <c r="B31" s="94" t="s">
        <v>73</v>
      </c>
      <c r="C31" s="4" t="s">
        <v>24</v>
      </c>
      <c r="D31" s="3" t="s">
        <v>69</v>
      </c>
      <c r="E31" s="3"/>
      <c r="F31" s="28">
        <f>Q29</f>
        <v>3752.0816122001579</v>
      </c>
      <c r="G31" s="4">
        <f>F33</f>
        <v>3696.9039414325084</v>
      </c>
      <c r="H31" s="4">
        <f>G33</f>
        <v>3146.8674962553714</v>
      </c>
      <c r="I31" s="4">
        <f t="shared" ref="I31:Q31" si="12">H33</f>
        <v>3160.4816104509614</v>
      </c>
      <c r="J31" s="4">
        <f t="shared" si="12"/>
        <v>2702.8184656239991</v>
      </c>
      <c r="K31" s="4">
        <f>J33</f>
        <v>2549.6222772890355</v>
      </c>
      <c r="L31" s="4">
        <f t="shared" si="12"/>
        <v>3193.4748433831514</v>
      </c>
      <c r="M31" s="4">
        <f t="shared" si="12"/>
        <v>3536.4900755765593</v>
      </c>
      <c r="N31" s="4">
        <f t="shared" si="12"/>
        <v>3744.0693282809516</v>
      </c>
      <c r="O31" s="4">
        <f t="shared" si="12"/>
        <v>3744.0693282809516</v>
      </c>
      <c r="P31" s="4">
        <f t="shared" si="12"/>
        <v>3744.0693282809516</v>
      </c>
      <c r="Q31" s="1">
        <f t="shared" si="12"/>
        <v>3744.0693282809516</v>
      </c>
    </row>
    <row r="32" spans="2:21" x14ac:dyDescent="0.25">
      <c r="B32" s="95"/>
      <c r="C32" s="4" t="s">
        <v>25</v>
      </c>
      <c r="D32" s="3" t="s">
        <v>69</v>
      </c>
      <c r="E32" s="3">
        <f>SUM(F32:Q32)</f>
        <v>-8.0122839192058848</v>
      </c>
      <c r="F32" s="4">
        <f t="shared" ref="F32:Q32" si="13">((F$18*$D$8)-(F$20*F31/$D$4))/(1+(F$20/(2*$D$4)))</f>
        <v>-55.177670767649381</v>
      </c>
      <c r="G32" s="4">
        <f t="shared" si="13"/>
        <v>-550.03644517713701</v>
      </c>
      <c r="H32" s="4">
        <f>((H$18*$D$8)-(H$20*H31/$D$4))/(1+(H$20/(2*$D$4)))</f>
        <v>13.614114195590206</v>
      </c>
      <c r="I32" s="4">
        <f>((I$18*$D$8)-(I$20*I31/$D$4))/(1+(I$20/(2*$D$4)))</f>
        <v>-457.66314482696225</v>
      </c>
      <c r="J32" s="4">
        <f>((J$18*$D$8)-(J$20*J31/$D$4))/(1+(J$20/(2*$D$4)))</f>
        <v>-153.19618833496355</v>
      </c>
      <c r="K32" s="4">
        <f t="shared" si="13"/>
        <v>643.85256609411579</v>
      </c>
      <c r="L32" s="4">
        <f t="shared" si="13"/>
        <v>343.01523219340811</v>
      </c>
      <c r="M32" s="4">
        <f t="shared" si="13"/>
        <v>207.57925270439213</v>
      </c>
      <c r="N32" s="4">
        <f t="shared" si="13"/>
        <v>0</v>
      </c>
      <c r="O32" s="4">
        <f t="shared" si="13"/>
        <v>0</v>
      </c>
      <c r="P32" s="4">
        <f t="shared" si="13"/>
        <v>0</v>
      </c>
      <c r="Q32" s="1">
        <f t="shared" si="13"/>
        <v>0</v>
      </c>
    </row>
    <row r="33" spans="2:19" x14ac:dyDescent="0.25">
      <c r="B33" s="95"/>
      <c r="C33" s="4" t="s">
        <v>28</v>
      </c>
      <c r="D33" s="3" t="s">
        <v>69</v>
      </c>
      <c r="E33" s="3"/>
      <c r="F33" s="4">
        <f t="shared" ref="F33:Q33" si="14">F31+F32</f>
        <v>3696.9039414325084</v>
      </c>
      <c r="G33" s="4">
        <f>G31+G32</f>
        <v>3146.8674962553714</v>
      </c>
      <c r="H33" s="4">
        <f t="shared" si="14"/>
        <v>3160.4816104509614</v>
      </c>
      <c r="I33" s="4">
        <f t="shared" si="14"/>
        <v>2702.8184656239991</v>
      </c>
      <c r="J33" s="4">
        <f t="shared" si="14"/>
        <v>2549.6222772890355</v>
      </c>
      <c r="K33" s="4">
        <f t="shared" si="14"/>
        <v>3193.4748433831514</v>
      </c>
      <c r="L33" s="4">
        <f t="shared" si="14"/>
        <v>3536.4900755765593</v>
      </c>
      <c r="M33" s="4">
        <f t="shared" si="14"/>
        <v>3744.0693282809516</v>
      </c>
      <c r="N33" s="4">
        <f t="shared" si="14"/>
        <v>3744.0693282809516</v>
      </c>
      <c r="O33" s="4">
        <f t="shared" si="14"/>
        <v>3744.0693282809516</v>
      </c>
      <c r="P33" s="4">
        <f t="shared" si="14"/>
        <v>3744.0693282809516</v>
      </c>
      <c r="Q33" s="2">
        <f t="shared" si="14"/>
        <v>3744.0693282809516</v>
      </c>
    </row>
    <row r="34" spans="2:19" x14ac:dyDescent="0.25">
      <c r="B34" s="96"/>
      <c r="C34" s="23" t="s">
        <v>30</v>
      </c>
      <c r="D34" s="24" t="s">
        <v>39</v>
      </c>
      <c r="E34" s="25">
        <f>AVERAGEA(F34:Q34)</f>
        <v>6.2825635020641899</v>
      </c>
      <c r="F34" s="26">
        <f t="shared" ref="F34:Q34" si="15">(F31+F33)/(2*2*$D$4)</f>
        <v>6.8972088459561727</v>
      </c>
      <c r="G34" s="26">
        <f t="shared" si="15"/>
        <v>6.3368254052665547</v>
      </c>
      <c r="H34" s="26">
        <f t="shared" si="15"/>
        <v>5.8401380617651233</v>
      </c>
      <c r="I34" s="26">
        <f t="shared" si="15"/>
        <v>5.4289815519212592</v>
      </c>
      <c r="J34" s="26">
        <f t="shared" si="15"/>
        <v>4.8633710582528105</v>
      </c>
      <c r="K34" s="26">
        <f t="shared" si="15"/>
        <v>5.3176825191409138</v>
      </c>
      <c r="L34" s="26">
        <f t="shared" si="15"/>
        <v>6.2314489990367701</v>
      </c>
      <c r="M34" s="26">
        <f t="shared" si="15"/>
        <v>6.741258707275473</v>
      </c>
      <c r="N34" s="26">
        <f t="shared" si="15"/>
        <v>6.9334617190387995</v>
      </c>
      <c r="O34" s="26">
        <f t="shared" si="15"/>
        <v>6.9334617190387995</v>
      </c>
      <c r="P34" s="26">
        <f t="shared" si="15"/>
        <v>6.9334617190387995</v>
      </c>
      <c r="Q34" s="27">
        <f t="shared" si="15"/>
        <v>6.9334617190387995</v>
      </c>
      <c r="R34" s="58"/>
      <c r="S34" s="58"/>
    </row>
    <row r="35" spans="2:19" ht="15" customHeight="1" x14ac:dyDescent="0.25">
      <c r="B35" s="94" t="s">
        <v>74</v>
      </c>
      <c r="C35" s="4" t="s">
        <v>24</v>
      </c>
      <c r="D35" s="3" t="s">
        <v>69</v>
      </c>
      <c r="E35" s="3"/>
      <c r="F35" s="28">
        <f>Q33</f>
        <v>3744.0693282809516</v>
      </c>
      <c r="G35" s="4">
        <f t="shared" ref="G35:Q35" si="16">F37</f>
        <v>3689.0094852179964</v>
      </c>
      <c r="H35" s="4">
        <f>G37</f>
        <v>3140.1476008900531</v>
      </c>
      <c r="I35" s="4">
        <f t="shared" si="16"/>
        <v>3153.8396989643561</v>
      </c>
      <c r="J35" s="4">
        <f t="shared" si="16"/>
        <v>2697.138356316078</v>
      </c>
      <c r="K35" s="4">
        <f>J37</f>
        <v>2544.2641174965429</v>
      </c>
      <c r="L35" s="4">
        <f t="shared" si="16"/>
        <v>3190.06534397408</v>
      </c>
      <c r="M35" s="4">
        <f t="shared" si="16"/>
        <v>3534.1187333933581</v>
      </c>
      <c r="N35" s="4">
        <f t="shared" si="16"/>
        <v>3742.32623779304</v>
      </c>
      <c r="O35" s="4">
        <f t="shared" si="16"/>
        <v>3742.32623779304</v>
      </c>
      <c r="P35" s="4">
        <f t="shared" si="16"/>
        <v>3742.32623779304</v>
      </c>
      <c r="Q35" s="1">
        <f t="shared" si="16"/>
        <v>3742.32623779304</v>
      </c>
    </row>
    <row r="36" spans="2:19" x14ac:dyDescent="0.25">
      <c r="B36" s="95"/>
      <c r="C36" s="4" t="s">
        <v>25</v>
      </c>
      <c r="D36" s="3" t="s">
        <v>69</v>
      </c>
      <c r="E36" s="3">
        <f>SUM(F36:Q36)</f>
        <v>-1.7430904879117861</v>
      </c>
      <c r="F36" s="4">
        <f t="shared" ref="F36:Q36" si="17">((F$18*$D$8)-(F$20*F35/$D$4))/(1+(F$20/(2*$D$4)))</f>
        <v>-55.059843062955181</v>
      </c>
      <c r="G36" s="4">
        <f t="shared" si="17"/>
        <v>-548.86188432794313</v>
      </c>
      <c r="H36" s="4">
        <f>((H$18*$D$8)-(H$20*H35/$D$4))/(1+(H$20/(2*$D$4)))</f>
        <v>13.692098074302834</v>
      </c>
      <c r="I36" s="4">
        <f>((I$18*$D$8)-(I$20*I35/$D$4))/(1+(I$20/(2*$D$4)))</f>
        <v>-456.70134264827834</v>
      </c>
      <c r="J36" s="4">
        <f>((J$18*$D$8)-(J$20*J35/$D$4))/(1+(J$20/(2*$D$4)))</f>
        <v>-152.87423881953487</v>
      </c>
      <c r="K36" s="4">
        <f t="shared" si="17"/>
        <v>645.80122647753717</v>
      </c>
      <c r="L36" s="4">
        <f t="shared" si="17"/>
        <v>344.05338941927795</v>
      </c>
      <c r="M36" s="4">
        <f t="shared" si="17"/>
        <v>208.2075043996818</v>
      </c>
      <c r="N36" s="4">
        <f t="shared" si="17"/>
        <v>0</v>
      </c>
      <c r="O36" s="4">
        <f t="shared" si="17"/>
        <v>0</v>
      </c>
      <c r="P36" s="4">
        <f t="shared" si="17"/>
        <v>0</v>
      </c>
      <c r="Q36" s="1">
        <f t="shared" si="17"/>
        <v>0</v>
      </c>
    </row>
    <row r="37" spans="2:19" x14ac:dyDescent="0.25">
      <c r="B37" s="95"/>
      <c r="C37" s="4" t="s">
        <v>28</v>
      </c>
      <c r="D37" s="3" t="s">
        <v>69</v>
      </c>
      <c r="E37" s="3"/>
      <c r="F37" s="4">
        <f t="shared" ref="F37:Q37" si="18">F35+F36</f>
        <v>3689.0094852179964</v>
      </c>
      <c r="G37" s="4">
        <f>G35+G36</f>
        <v>3140.1476008900531</v>
      </c>
      <c r="H37" s="4">
        <f t="shared" si="18"/>
        <v>3153.8396989643561</v>
      </c>
      <c r="I37" s="4">
        <f t="shared" si="18"/>
        <v>2697.138356316078</v>
      </c>
      <c r="J37" s="4">
        <f t="shared" si="18"/>
        <v>2544.2641174965429</v>
      </c>
      <c r="K37" s="4">
        <f t="shared" si="18"/>
        <v>3190.06534397408</v>
      </c>
      <c r="L37" s="4">
        <f t="shared" si="18"/>
        <v>3534.1187333933581</v>
      </c>
      <c r="M37" s="4">
        <f t="shared" si="18"/>
        <v>3742.32623779304</v>
      </c>
      <c r="N37" s="4">
        <f t="shared" si="18"/>
        <v>3742.32623779304</v>
      </c>
      <c r="O37" s="4">
        <f t="shared" si="18"/>
        <v>3742.32623779304</v>
      </c>
      <c r="P37" s="4">
        <f t="shared" si="18"/>
        <v>3742.32623779304</v>
      </c>
      <c r="Q37" s="2">
        <f t="shared" si="18"/>
        <v>3742.32623779304</v>
      </c>
    </row>
    <row r="38" spans="2:19" x14ac:dyDescent="0.25">
      <c r="B38" s="96"/>
      <c r="C38" s="23" t="s">
        <v>30</v>
      </c>
      <c r="D38" s="24" t="s">
        <v>39</v>
      </c>
      <c r="E38" s="25">
        <f>AVERAGEA(F38:Q38)</f>
        <v>6.2748589614909909</v>
      </c>
      <c r="F38" s="26">
        <f t="shared" ref="F38:Q38" si="19">(F35+F37)/(2*2*$D$4)</f>
        <v>6.8824803828693959</v>
      </c>
      <c r="G38" s="26">
        <f t="shared" si="19"/>
        <v>6.3232935982481937</v>
      </c>
      <c r="H38" s="26">
        <f t="shared" si="19"/>
        <v>5.8277660183837119</v>
      </c>
      <c r="I38" s="26">
        <f t="shared" si="19"/>
        <v>5.4175722734078091</v>
      </c>
      <c r="J38" s="26">
        <f t="shared" si="19"/>
        <v>4.8531504387153896</v>
      </c>
      <c r="K38" s="26">
        <f t="shared" si="19"/>
        <v>5.3095643161765027</v>
      </c>
      <c r="L38" s="26">
        <f t="shared" si="19"/>
        <v>6.2260963679328123</v>
      </c>
      <c r="M38" s="26">
        <f t="shared" si="19"/>
        <v>6.7374490473948132</v>
      </c>
      <c r="N38" s="26">
        <f t="shared" si="19"/>
        <v>6.9302337736908148</v>
      </c>
      <c r="O38" s="26">
        <f t="shared" si="19"/>
        <v>6.9302337736908148</v>
      </c>
      <c r="P38" s="26">
        <f t="shared" si="19"/>
        <v>6.9302337736908148</v>
      </c>
      <c r="Q38" s="27">
        <f t="shared" si="19"/>
        <v>6.9302337736908148</v>
      </c>
      <c r="R38" s="58"/>
      <c r="S38" s="58"/>
    </row>
    <row r="39" spans="2:19" ht="15" customHeight="1" x14ac:dyDescent="0.25">
      <c r="B39" s="94" t="s">
        <v>75</v>
      </c>
      <c r="C39" s="4" t="s">
        <v>24</v>
      </c>
      <c r="D39" s="3" t="s">
        <v>69</v>
      </c>
      <c r="E39" s="3"/>
      <c r="F39" s="28">
        <f>Q37</f>
        <v>3742.32623779304</v>
      </c>
      <c r="G39" s="4">
        <f t="shared" ref="G39:Q39" si="20">F41</f>
        <v>3687.2920284137308</v>
      </c>
      <c r="H39" s="4">
        <f>G41</f>
        <v>3138.6856724550203</v>
      </c>
      <c r="I39" s="4">
        <f t="shared" si="20"/>
        <v>3152.3947360985121</v>
      </c>
      <c r="J39" s="4">
        <f t="shared" si="20"/>
        <v>2695.9026356895033</v>
      </c>
      <c r="K39" s="4">
        <f>J41</f>
        <v>2543.0984377151995</v>
      </c>
      <c r="L39" s="4">
        <f t="shared" si="20"/>
        <v>3189.3235996664121</v>
      </c>
      <c r="M39" s="4">
        <f t="shared" si="20"/>
        <v>3533.6028425381655</v>
      </c>
      <c r="N39" s="4">
        <f t="shared" si="20"/>
        <v>3741.9470245150674</v>
      </c>
      <c r="O39" s="4">
        <f t="shared" si="20"/>
        <v>3741.9470245150674</v>
      </c>
      <c r="P39" s="4">
        <f t="shared" si="20"/>
        <v>3741.9470245150674</v>
      </c>
      <c r="Q39" s="1">
        <f t="shared" si="20"/>
        <v>3741.9470245150674</v>
      </c>
    </row>
    <row r="40" spans="2:19" x14ac:dyDescent="0.25">
      <c r="B40" s="95"/>
      <c r="C40" s="4" t="s">
        <v>25</v>
      </c>
      <c r="D40" s="3" t="s">
        <v>69</v>
      </c>
      <c r="E40" s="3">
        <f>SUM(F40:Q40)</f>
        <v>-0.37921327797295135</v>
      </c>
      <c r="F40" s="4">
        <f t="shared" ref="F40:Q40" si="21">((F$18*$D$8)-(F$20*F39/$D$4))/(1+(F$20/(2*$D$4)))</f>
        <v>-55.034209379309416</v>
      </c>
      <c r="G40" s="4">
        <f t="shared" si="21"/>
        <v>-548.60635595871065</v>
      </c>
      <c r="H40" s="4">
        <f>((H$18*$D$8)-(H$20*H39/$D$4))/(1+(H$20/(2*$D$4)))</f>
        <v>13.70906364349198</v>
      </c>
      <c r="I40" s="4">
        <f>((I$18*$D$8)-(I$20*I39/$D$4))/(1+(I$20/(2*$D$4)))</f>
        <v>-456.49210040900897</v>
      </c>
      <c r="J40" s="4">
        <f>((J$18*$D$8)-(J$20*J39/$D$4))/(1+(J$20/(2*$D$4)))</f>
        <v>-152.80419797430389</v>
      </c>
      <c r="K40" s="4">
        <f t="shared" si="21"/>
        <v>646.22516195121273</v>
      </c>
      <c r="L40" s="4">
        <f t="shared" si="21"/>
        <v>344.27924287175364</v>
      </c>
      <c r="M40" s="4">
        <f t="shared" si="21"/>
        <v>208.34418197690172</v>
      </c>
      <c r="N40" s="4">
        <f t="shared" si="21"/>
        <v>0</v>
      </c>
      <c r="O40" s="4">
        <f t="shared" si="21"/>
        <v>0</v>
      </c>
      <c r="P40" s="4">
        <f t="shared" si="21"/>
        <v>0</v>
      </c>
      <c r="Q40" s="1">
        <f t="shared" si="21"/>
        <v>0</v>
      </c>
    </row>
    <row r="41" spans="2:19" x14ac:dyDescent="0.25">
      <c r="B41" s="95"/>
      <c r="C41" s="4" t="s">
        <v>28</v>
      </c>
      <c r="D41" s="3" t="s">
        <v>69</v>
      </c>
      <c r="E41" s="3"/>
      <c r="F41" s="4">
        <f t="shared" ref="F41:Q41" si="22">F39+F40</f>
        <v>3687.2920284137308</v>
      </c>
      <c r="G41" s="4">
        <f>G39+G40</f>
        <v>3138.6856724550203</v>
      </c>
      <c r="H41" s="4">
        <f t="shared" si="22"/>
        <v>3152.3947360985121</v>
      </c>
      <c r="I41" s="4">
        <f t="shared" si="22"/>
        <v>2695.9026356895033</v>
      </c>
      <c r="J41" s="4">
        <f t="shared" si="22"/>
        <v>2543.0984377151995</v>
      </c>
      <c r="K41" s="4">
        <f t="shared" si="22"/>
        <v>3189.3235996664121</v>
      </c>
      <c r="L41" s="4">
        <f t="shared" si="22"/>
        <v>3533.6028425381655</v>
      </c>
      <c r="M41" s="4">
        <f t="shared" si="22"/>
        <v>3741.9470245150674</v>
      </c>
      <c r="N41" s="4">
        <f t="shared" si="22"/>
        <v>3741.9470245150674</v>
      </c>
      <c r="O41" s="4">
        <f t="shared" si="22"/>
        <v>3741.9470245150674</v>
      </c>
      <c r="P41" s="4">
        <f t="shared" si="22"/>
        <v>3741.9470245150674</v>
      </c>
      <c r="Q41" s="2">
        <f t="shared" si="22"/>
        <v>3741.9470245150674</v>
      </c>
    </row>
    <row r="42" spans="2:19" x14ac:dyDescent="0.25">
      <c r="B42" s="96"/>
      <c r="C42" s="23" t="s">
        <v>30</v>
      </c>
      <c r="D42" s="24" t="s">
        <v>39</v>
      </c>
      <c r="E42" s="25">
        <f>AVERAGEA(F42:Q42)</f>
        <v>6.2731828212640233</v>
      </c>
      <c r="F42" s="26">
        <f t="shared" ref="F42:Q42" si="23">(F39+F41)/(2*2*$D$4)</f>
        <v>6.8792761724136771</v>
      </c>
      <c r="G42" s="26">
        <f t="shared" si="23"/>
        <v>6.320349723026621</v>
      </c>
      <c r="H42" s="26">
        <f t="shared" si="23"/>
        <v>5.8250744523643823</v>
      </c>
      <c r="I42" s="26">
        <f t="shared" si="23"/>
        <v>5.4150901590629781</v>
      </c>
      <c r="J42" s="26">
        <f t="shared" si="23"/>
        <v>4.8509269198191696</v>
      </c>
      <c r="K42" s="26">
        <f t="shared" si="23"/>
        <v>5.3077981827607514</v>
      </c>
      <c r="L42" s="26">
        <f t="shared" si="23"/>
        <v>6.224931890930165</v>
      </c>
      <c r="M42" s="26">
        <f t="shared" si="23"/>
        <v>6.7366202472715111</v>
      </c>
      <c r="N42" s="26">
        <f t="shared" si="23"/>
        <v>6.9295315268797548</v>
      </c>
      <c r="O42" s="26">
        <f t="shared" si="23"/>
        <v>6.9295315268797548</v>
      </c>
      <c r="P42" s="26">
        <f t="shared" si="23"/>
        <v>6.9295315268797548</v>
      </c>
      <c r="Q42" s="27">
        <f t="shared" si="23"/>
        <v>6.9295315268797548</v>
      </c>
      <c r="R42" s="58"/>
      <c r="S42" s="58"/>
    </row>
    <row r="44" spans="2:19" ht="17.399999999999999" x14ac:dyDescent="0.25">
      <c r="B44" s="11" t="s">
        <v>76</v>
      </c>
    </row>
    <row r="45" spans="2:19" x14ac:dyDescent="0.25">
      <c r="B45" s="94" t="s">
        <v>77</v>
      </c>
      <c r="C45" s="5" t="s">
        <v>24</v>
      </c>
      <c r="D45" s="12" t="s">
        <v>69</v>
      </c>
      <c r="E45" s="12"/>
      <c r="F45" s="13">
        <f>F23 - E24*(F27-F23)/(E28-E24)</f>
        <v>3741.8415878165565</v>
      </c>
      <c r="G45" s="5">
        <f t="shared" ref="G45:P45" si="24">F47</f>
        <v>3686.8145056427838</v>
      </c>
      <c r="H45" s="5">
        <f>G47</f>
        <v>3138.279196952702</v>
      </c>
      <c r="I45" s="5">
        <f t="shared" si="24"/>
        <v>3151.9929777137309</v>
      </c>
      <c r="J45" s="5">
        <f t="shared" si="24"/>
        <v>2695.5590551486403</v>
      </c>
      <c r="K45" s="5">
        <f>J47</f>
        <v>2542.7743313750329</v>
      </c>
      <c r="L45" s="5">
        <f t="shared" si="24"/>
        <v>3189.1173646122015</v>
      </c>
      <c r="M45" s="5">
        <f>L47</f>
        <v>3533.4594039200501</v>
      </c>
      <c r="N45" s="5">
        <f t="shared" si="24"/>
        <v>3741.8415878165565</v>
      </c>
      <c r="O45" s="5">
        <f t="shared" si="24"/>
        <v>3741.8415878165565</v>
      </c>
      <c r="P45" s="5">
        <f t="shared" si="24"/>
        <v>3741.8415878165565</v>
      </c>
      <c r="Q45" s="14">
        <f>P47</f>
        <v>3741.8415878165565</v>
      </c>
    </row>
    <row r="46" spans="2:19" x14ac:dyDescent="0.25">
      <c r="B46" s="95"/>
      <c r="C46" s="4" t="s">
        <v>25</v>
      </c>
      <c r="D46" s="3" t="s">
        <v>69</v>
      </c>
      <c r="E46" s="3">
        <f>SUM(F46:Q46)</f>
        <v>-1.0516032489249483E-12</v>
      </c>
      <c r="F46" s="4">
        <f t="shared" ref="F46:Q46" si="25">((F$18*$D$8)-(F$20*F45/$D$4))/(1+(F$20/(2*$D$4)))</f>
        <v>-55.027082173772897</v>
      </c>
      <c r="G46" s="4">
        <f t="shared" si="25"/>
        <v>-548.53530869008171</v>
      </c>
      <c r="H46" s="4">
        <f>((H$18*$D$8)-(H$20*H45/$D$4))/(1+(H$20/(2*$D$4)))</f>
        <v>13.713780761028666</v>
      </c>
      <c r="I46" s="4">
        <f>((I$18*$D$8)-(I$20*I45/$D$4))/(1+(I$20/(2*$D$4)))</f>
        <v>-456.43392256509071</v>
      </c>
      <c r="J46" s="4">
        <f>((J$18*$D$8)-(J$20*J45/$D$4))/(1+(J$20/(2*$D$4)))</f>
        <v>-152.7847237736072</v>
      </c>
      <c r="K46" s="4">
        <f t="shared" si="25"/>
        <v>646.34303323716836</v>
      </c>
      <c r="L46" s="4">
        <f t="shared" si="25"/>
        <v>344.34203930784844</v>
      </c>
      <c r="M46" s="4">
        <f t="shared" si="25"/>
        <v>208.38218389650618</v>
      </c>
      <c r="N46" s="4">
        <f t="shared" si="25"/>
        <v>0</v>
      </c>
      <c r="O46" s="4">
        <f t="shared" si="25"/>
        <v>0</v>
      </c>
      <c r="P46" s="4">
        <f t="shared" si="25"/>
        <v>0</v>
      </c>
      <c r="Q46" s="1">
        <f t="shared" si="25"/>
        <v>0</v>
      </c>
    </row>
    <row r="47" spans="2:19" x14ac:dyDescent="0.25">
      <c r="B47" s="95"/>
      <c r="C47" s="4" t="s">
        <v>28</v>
      </c>
      <c r="D47" s="3" t="s">
        <v>69</v>
      </c>
      <c r="E47" s="3"/>
      <c r="F47" s="4">
        <f>F45+F46</f>
        <v>3686.8145056427838</v>
      </c>
      <c r="G47" s="4">
        <f>G45+G46</f>
        <v>3138.279196952702</v>
      </c>
      <c r="H47" s="4">
        <f t="shared" ref="H47:O47" si="26">H45+H46</f>
        <v>3151.9929777137309</v>
      </c>
      <c r="I47" s="4">
        <f t="shared" si="26"/>
        <v>2695.5590551486403</v>
      </c>
      <c r="J47" s="4">
        <f t="shared" si="26"/>
        <v>2542.7743313750329</v>
      </c>
      <c r="K47" s="4">
        <f t="shared" si="26"/>
        <v>3189.1173646122015</v>
      </c>
      <c r="L47" s="4">
        <f>L45+L46</f>
        <v>3533.4594039200501</v>
      </c>
      <c r="M47" s="4">
        <f t="shared" si="26"/>
        <v>3741.8415878165565</v>
      </c>
      <c r="N47" s="4">
        <f t="shared" si="26"/>
        <v>3741.8415878165565</v>
      </c>
      <c r="O47" s="4">
        <f t="shared" si="26"/>
        <v>3741.8415878165565</v>
      </c>
      <c r="P47" s="4">
        <f>P45+P46</f>
        <v>3741.8415878165565</v>
      </c>
      <c r="Q47" s="1">
        <f>Q45+Q46</f>
        <v>3741.8415878165565</v>
      </c>
    </row>
    <row r="48" spans="2:19" x14ac:dyDescent="0.25">
      <c r="B48" s="96"/>
      <c r="C48" s="23" t="s">
        <v>30</v>
      </c>
      <c r="D48" s="24" t="s">
        <v>39</v>
      </c>
      <c r="E48" s="25">
        <f>AVERAGEA(F48:Q48)</f>
        <v>6.2727167861802355</v>
      </c>
      <c r="F48" s="26">
        <f t="shared" ref="F48:Q48" si="27">(F45+F47)/(2*2*$D$4)</f>
        <v>6.8783852717216112</v>
      </c>
      <c r="G48" s="26">
        <f t="shared" si="27"/>
        <v>6.319531206106932</v>
      </c>
      <c r="H48" s="26">
        <f t="shared" si="27"/>
        <v>5.8243260876541045</v>
      </c>
      <c r="I48" s="26">
        <f t="shared" si="27"/>
        <v>5.4144000304281219</v>
      </c>
      <c r="J48" s="26">
        <f t="shared" si="27"/>
        <v>4.8503086912256226</v>
      </c>
      <c r="K48" s="26">
        <f t="shared" si="27"/>
        <v>5.3073071259141065</v>
      </c>
      <c r="L48" s="26">
        <f t="shared" si="27"/>
        <v>6.2246081190113438</v>
      </c>
      <c r="M48" s="26">
        <f t="shared" si="27"/>
        <v>6.7363898071635253</v>
      </c>
      <c r="N48" s="26">
        <f t="shared" si="27"/>
        <v>6.9293362737343642</v>
      </c>
      <c r="O48" s="26">
        <f t="shared" si="27"/>
        <v>6.9293362737343642</v>
      </c>
      <c r="P48" s="26">
        <f t="shared" si="27"/>
        <v>6.9293362737343642</v>
      </c>
      <c r="Q48" s="27">
        <f t="shared" si="27"/>
        <v>6.9293362737343642</v>
      </c>
      <c r="R48" s="58"/>
      <c r="S48" s="58"/>
    </row>
    <row r="50" spans="2:7" ht="10.199999999999999" customHeight="1" x14ac:dyDescent="0.25"/>
    <row r="51" spans="2:7" ht="18.600000000000001" customHeight="1" thickBot="1" x14ac:dyDescent="0.3">
      <c r="B51" s="63" t="s">
        <v>81</v>
      </c>
      <c r="C51" s="64" t="s">
        <v>53</v>
      </c>
      <c r="D51" s="65" t="s">
        <v>82</v>
      </c>
      <c r="E51" s="65" t="s">
        <v>84</v>
      </c>
      <c r="F51" s="64" t="s">
        <v>83</v>
      </c>
      <c r="G51" s="66" t="s">
        <v>85</v>
      </c>
    </row>
    <row r="52" spans="2:7" x14ac:dyDescent="0.25">
      <c r="B52" s="59">
        <f>D5</f>
        <v>7.33</v>
      </c>
      <c r="C52" s="60" t="s">
        <v>78</v>
      </c>
      <c r="D52" s="59">
        <f>B52</f>
        <v>7.33</v>
      </c>
      <c r="E52" s="59">
        <f>D52-B52</f>
        <v>0</v>
      </c>
      <c r="F52" s="59">
        <f>B52</f>
        <v>7.33</v>
      </c>
      <c r="G52" s="59">
        <f>B52-F52</f>
        <v>0</v>
      </c>
    </row>
    <row r="53" spans="2:7" x14ac:dyDescent="0.25">
      <c r="B53" s="59">
        <f>E26</f>
        <v>6.4807651007219134</v>
      </c>
      <c r="C53" s="60" t="s">
        <v>71</v>
      </c>
      <c r="D53" s="59">
        <f>MAX(F26:Q26)</f>
        <v>7.2761029411764699</v>
      </c>
      <c r="E53" s="59">
        <f>D53-B53</f>
        <v>0.79533784045455658</v>
      </c>
      <c r="F53" s="59">
        <f>MIN(F26:Q26)</f>
        <v>5.1262995369003166</v>
      </c>
      <c r="G53" s="59">
        <f>B53-F53</f>
        <v>1.3544655638215968</v>
      </c>
    </row>
    <row r="54" spans="2:7" x14ac:dyDescent="0.25">
      <c r="B54" s="59">
        <f>E30</f>
        <v>6.3179781675492075</v>
      </c>
      <c r="C54" s="60" t="s">
        <v>72</v>
      </c>
      <c r="D54" s="59">
        <f>MAX(F30:Q30)</f>
        <v>6.9649096502248993</v>
      </c>
      <c r="E54" s="59">
        <f t="shared" ref="E54:E58" si="28">D54-B54</f>
        <v>0.64693148267569178</v>
      </c>
      <c r="F54" s="59">
        <f>MIN(F30:Q30)</f>
        <v>4.9103511239074082</v>
      </c>
      <c r="G54" s="59">
        <f t="shared" ref="G54:G58" si="29">B54-F54</f>
        <v>1.4076270436417992</v>
      </c>
    </row>
    <row r="55" spans="2:7" x14ac:dyDescent="0.25">
      <c r="B55" s="59">
        <f>E34</f>
        <v>6.2825635020641899</v>
      </c>
      <c r="C55" s="60" t="s">
        <v>73</v>
      </c>
      <c r="D55" s="59">
        <f>MAX(F34:Q34)</f>
        <v>6.9334617190387995</v>
      </c>
      <c r="E55" s="59">
        <f t="shared" si="28"/>
        <v>0.65089821697460959</v>
      </c>
      <c r="F55" s="59">
        <f>MIN(F34:Q34)</f>
        <v>4.8633710582528105</v>
      </c>
      <c r="G55" s="59">
        <f t="shared" si="29"/>
        <v>1.4191924438113794</v>
      </c>
    </row>
    <row r="56" spans="2:7" x14ac:dyDescent="0.25">
      <c r="B56" s="59">
        <f>E38</f>
        <v>6.2748589614909909</v>
      </c>
      <c r="C56" s="60" t="s">
        <v>74</v>
      </c>
      <c r="D56" s="59">
        <f>MAX(F38:Q38)</f>
        <v>6.9302337736908148</v>
      </c>
      <c r="E56" s="59">
        <f t="shared" si="28"/>
        <v>0.65537481219982396</v>
      </c>
      <c r="F56" s="59">
        <f>MIN(F38:Q38)</f>
        <v>4.8531504387153896</v>
      </c>
      <c r="G56" s="59">
        <f t="shared" si="29"/>
        <v>1.4217085227756012</v>
      </c>
    </row>
    <row r="57" spans="2:7" x14ac:dyDescent="0.25">
      <c r="B57" s="59">
        <f>E42</f>
        <v>6.2731828212640233</v>
      </c>
      <c r="C57" s="60" t="s">
        <v>75</v>
      </c>
      <c r="D57" s="59">
        <f>MAX(F42:Q42)</f>
        <v>6.9295315268797548</v>
      </c>
      <c r="E57" s="59">
        <f>D57-B57</f>
        <v>0.65634870561573155</v>
      </c>
      <c r="F57" s="59">
        <f>MIN(F42:Q42)</f>
        <v>4.8509269198191696</v>
      </c>
      <c r="G57" s="59">
        <f t="shared" si="29"/>
        <v>1.4222559014448537</v>
      </c>
    </row>
    <row r="58" spans="2:7" x14ac:dyDescent="0.25">
      <c r="B58" s="61">
        <f>E48</f>
        <v>6.2727167861802355</v>
      </c>
      <c r="C58" s="62" t="s">
        <v>77</v>
      </c>
      <c r="D58" s="61">
        <f>MAX(F48:Q48)</f>
        <v>6.9293362737343642</v>
      </c>
      <c r="E58" s="61">
        <f t="shared" si="28"/>
        <v>0.65661948755412869</v>
      </c>
      <c r="F58" s="61">
        <f>MIN(F48:Q48)</f>
        <v>4.8503086912256226</v>
      </c>
      <c r="G58" s="61">
        <f t="shared" si="29"/>
        <v>1.422408094954613</v>
      </c>
    </row>
    <row r="59" spans="2:7" x14ac:dyDescent="0.25">
      <c r="D59" s="6"/>
      <c r="F59" s="7"/>
    </row>
    <row r="60" spans="2:7" x14ac:dyDescent="0.25">
      <c r="D60" s="6"/>
      <c r="F60" s="7"/>
    </row>
    <row r="61" spans="2:7" x14ac:dyDescent="0.25">
      <c r="D61" s="6"/>
      <c r="F61" s="7"/>
    </row>
    <row r="62" spans="2:7" x14ac:dyDescent="0.25">
      <c r="D62" s="6"/>
      <c r="F62" s="7"/>
    </row>
    <row r="63" spans="2:7" x14ac:dyDescent="0.25">
      <c r="D63" s="6"/>
      <c r="F63" s="7"/>
    </row>
    <row r="64" spans="2:7" x14ac:dyDescent="0.25">
      <c r="D64" s="6"/>
      <c r="F64" s="7"/>
    </row>
  </sheetData>
  <mergeCells count="10">
    <mergeCell ref="B39:B42"/>
    <mergeCell ref="B35:B38"/>
    <mergeCell ref="B31:B34"/>
    <mergeCell ref="B45:B48"/>
    <mergeCell ref="G4:G9"/>
    <mergeCell ref="I7:J7"/>
    <mergeCell ref="B13:B20"/>
    <mergeCell ref="B27:B30"/>
    <mergeCell ref="B23:B26"/>
    <mergeCell ref="B4:B10"/>
  </mergeCells>
  <phoneticPr fontId="6" type="noConversion"/>
  <pageMargins left="0.5" right="0.5" top="0.5" bottom="0.5" header="0.5" footer="0.5"/>
  <pageSetup paperSize="9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556C-02E3-4E05-B792-715DAB82ECDE}">
  <sheetPr transitionEvaluation="1"/>
  <dimension ref="A1:U65"/>
  <sheetViews>
    <sheetView defaultGridColor="0" topLeftCell="A42" colorId="22" zoomScaleNormal="100" workbookViewId="0">
      <selection activeCell="I55" sqref="I55"/>
    </sheetView>
  </sheetViews>
  <sheetFormatPr defaultColWidth="11.453125" defaultRowHeight="13.2" x14ac:dyDescent="0.25"/>
  <cols>
    <col min="1" max="1" width="5.1796875" style="6" customWidth="1"/>
    <col min="2" max="2" width="16.1796875" style="15" customWidth="1"/>
    <col min="3" max="3" width="15.81640625" style="6" customWidth="1"/>
    <col min="4" max="4" width="15" style="7" customWidth="1"/>
    <col min="5" max="5" width="11.54296875" style="7" customWidth="1"/>
    <col min="6" max="6" width="14.453125" style="6" customWidth="1"/>
    <col min="7" max="7" width="14.1796875" style="6" customWidth="1"/>
    <col min="8" max="8" width="16.6328125" style="6" customWidth="1"/>
    <col min="9" max="9" width="12.36328125" style="6" customWidth="1"/>
    <col min="10" max="10" width="9.90625" style="6" customWidth="1"/>
    <col min="11" max="11" width="10" style="6" customWidth="1"/>
    <col min="12" max="12" width="9.08984375" style="6" customWidth="1"/>
    <col min="13" max="13" width="9.81640625" style="6" customWidth="1"/>
    <col min="14" max="14" width="10.1796875" style="6" customWidth="1"/>
    <col min="15" max="15" width="8" style="6" customWidth="1"/>
    <col min="16" max="16" width="8.1796875" style="6" customWidth="1"/>
    <col min="17" max="17" width="10.1796875" style="6" customWidth="1"/>
    <col min="18" max="16384" width="11.453125" style="6"/>
  </cols>
  <sheetData>
    <row r="1" spans="2:18" ht="38.4" customHeight="1" x14ac:dyDescent="0.5">
      <c r="B1" s="56" t="s">
        <v>32</v>
      </c>
    </row>
    <row r="2" spans="2:18" ht="15.6" customHeight="1" x14ac:dyDescent="0.25">
      <c r="B2" s="57" t="s">
        <v>79</v>
      </c>
    </row>
    <row r="3" spans="2:18" x14ac:dyDescent="0.25">
      <c r="B3" s="6"/>
      <c r="H3" s="7"/>
    </row>
    <row r="4" spans="2:18" ht="26.4" x14ac:dyDescent="0.25">
      <c r="B4" s="94" t="s">
        <v>33</v>
      </c>
      <c r="C4" s="39" t="s">
        <v>4</v>
      </c>
      <c r="D4" s="44">
        <v>270</v>
      </c>
      <c r="E4" s="43" t="s">
        <v>34</v>
      </c>
      <c r="G4" s="99" t="s">
        <v>35</v>
      </c>
      <c r="H4" s="35" t="s">
        <v>36</v>
      </c>
      <c r="I4" s="36">
        <f>IF(AND(E16&gt;0, D8 &lt; 2*D6), E16 * 2*D6 / (2*D6 - D8), 0)</f>
        <v>431.1185628742515</v>
      </c>
      <c r="J4" s="37" t="s">
        <v>37</v>
      </c>
    </row>
    <row r="5" spans="2:18" ht="30" customHeight="1" x14ac:dyDescent="0.25">
      <c r="B5" s="95"/>
      <c r="C5" s="39" t="s">
        <v>38</v>
      </c>
      <c r="D5" s="45">
        <v>7.33</v>
      </c>
      <c r="E5" s="43" t="s">
        <v>39</v>
      </c>
      <c r="G5" s="100"/>
      <c r="H5" s="38" t="s">
        <v>40</v>
      </c>
      <c r="I5" s="36">
        <f>IF(AND(E16&gt;0, D8 &lt; 2*D6), E16 * D8 / (2*D6 - D8), 0)</f>
        <v>206.12856287425149</v>
      </c>
      <c r="J5" s="37" t="s">
        <v>37</v>
      </c>
    </row>
    <row r="6" spans="2:18" x14ac:dyDescent="0.25">
      <c r="B6" s="95"/>
      <c r="C6" s="46" t="s">
        <v>41</v>
      </c>
      <c r="D6" s="51">
        <v>8</v>
      </c>
      <c r="E6" s="22" t="s">
        <v>39</v>
      </c>
      <c r="G6" s="100"/>
      <c r="H6" s="39" t="s">
        <v>42</v>
      </c>
      <c r="I6" s="40">
        <f>I4-E18</f>
        <v>431.1185628742515</v>
      </c>
      <c r="J6" s="41" t="s">
        <v>37</v>
      </c>
    </row>
    <row r="7" spans="2:18" ht="26.4" x14ac:dyDescent="0.25">
      <c r="B7" s="95"/>
      <c r="C7" s="39" t="s">
        <v>43</v>
      </c>
      <c r="D7" s="45">
        <v>18</v>
      </c>
      <c r="E7" s="43" t="s">
        <v>39</v>
      </c>
      <c r="G7" s="100"/>
      <c r="H7" s="42" t="s">
        <v>44</v>
      </c>
      <c r="I7" s="97" t="str">
        <f>IF(MAX(F26:Q26)&gt;$D$7, "Year 1", IF(MAX(F30:Q30)&gt;$D$7, "Year 2", IF(MAX(F34:Q34)&gt;$D$7, "Year 3", IF(MAX(F38:Q38)&gt;$D$7, "Year 4", IF(MAX(F42:Q42)&gt;$D$7, "Year 5", "Not happening")))))</f>
        <v>Not happening</v>
      </c>
      <c r="J7" s="98"/>
    </row>
    <row r="8" spans="2:18" ht="15" customHeight="1" x14ac:dyDescent="0.25">
      <c r="B8" s="95"/>
      <c r="C8" s="39" t="s">
        <v>16</v>
      </c>
      <c r="D8" s="45">
        <v>7.65</v>
      </c>
      <c r="E8" s="43" t="s">
        <v>39</v>
      </c>
      <c r="G8" s="100"/>
      <c r="H8" s="42" t="s">
        <v>45</v>
      </c>
      <c r="I8" s="40">
        <f>IFERROR(IF((Q29-Q25)/(Q25-F23)&gt;=1, "Never (accumulating)", ROUNDUP(LN(0.01)/LN((Q29-Q25)/(Q25-F23)), 0)), "N/A")</f>
        <v>12</v>
      </c>
      <c r="J8" s="53" t="s">
        <v>46</v>
      </c>
    </row>
    <row r="9" spans="2:18" x14ac:dyDescent="0.25">
      <c r="B9" s="95"/>
      <c r="C9" s="47" t="s">
        <v>47</v>
      </c>
      <c r="D9" s="45">
        <f>D8 / (2 * D6)</f>
        <v>0.47812500000000002</v>
      </c>
      <c r="E9" s="43"/>
      <c r="G9" s="101"/>
      <c r="H9" s="39" t="s">
        <v>48</v>
      </c>
      <c r="I9" s="54">
        <f>IF(MAX(F26:Q26)&lt;=$D$6, 1, IF(MAX(F30:Q30)&lt;=$D$6, 2, IF(MAX(F34:Q34)&lt;=$D$6, 3, IF(MAX(F38:Q38)&lt;=$D$6, 4, IF(MAX(F42:Q42)&lt;=$D$6, 5, "&gt; 5")))))</f>
        <v>1</v>
      </c>
      <c r="J9" s="53" t="s">
        <v>46</v>
      </c>
    </row>
    <row r="10" spans="2:18" x14ac:dyDescent="0.25">
      <c r="B10" s="96"/>
      <c r="C10" s="39" t="s">
        <v>49</v>
      </c>
      <c r="D10" s="44" t="s">
        <v>50</v>
      </c>
      <c r="E10" s="43"/>
      <c r="G10" s="21"/>
      <c r="H10" s="21"/>
    </row>
    <row r="11" spans="2:18" x14ac:dyDescent="0.25">
      <c r="B11" s="6"/>
      <c r="D11" s="6"/>
      <c r="E11" s="6"/>
      <c r="F11" s="21"/>
      <c r="G11" s="21"/>
    </row>
    <row r="12" spans="2:18" x14ac:dyDescent="0.25">
      <c r="B12" s="6"/>
      <c r="D12" s="9"/>
      <c r="F12" s="10"/>
      <c r="H12" s="7"/>
    </row>
    <row r="13" spans="2:18" ht="15.6" customHeight="1" thickBot="1" x14ac:dyDescent="0.3">
      <c r="B13" s="94" t="s">
        <v>51</v>
      </c>
      <c r="C13" s="29" t="s">
        <v>52</v>
      </c>
      <c r="D13" s="30"/>
      <c r="E13" s="67" t="s">
        <v>53</v>
      </c>
      <c r="F13" s="67" t="s">
        <v>54</v>
      </c>
      <c r="G13" s="67" t="s">
        <v>55</v>
      </c>
      <c r="H13" s="67" t="s">
        <v>56</v>
      </c>
      <c r="I13" s="67" t="s">
        <v>57</v>
      </c>
      <c r="J13" s="67" t="s">
        <v>58</v>
      </c>
      <c r="K13" s="67" t="s">
        <v>59</v>
      </c>
      <c r="L13" s="67" t="s">
        <v>60</v>
      </c>
      <c r="M13" s="67" t="s">
        <v>61</v>
      </c>
      <c r="N13" s="67" t="s">
        <v>62</v>
      </c>
      <c r="O13" s="67" t="s">
        <v>63</v>
      </c>
      <c r="P13" s="67" t="s">
        <v>64</v>
      </c>
      <c r="Q13" s="68" t="s">
        <v>65</v>
      </c>
    </row>
    <row r="14" spans="2:18" x14ac:dyDescent="0.25">
      <c r="B14" s="95"/>
      <c r="C14" s="4" t="s">
        <v>11</v>
      </c>
      <c r="D14" s="3" t="s">
        <v>34</v>
      </c>
      <c r="E14" s="69">
        <f>SUM(F14:Q14)</f>
        <v>561.99</v>
      </c>
      <c r="F14" s="70">
        <v>0</v>
      </c>
      <c r="G14" s="71">
        <v>18.600000000000001</v>
      </c>
      <c r="H14" s="71">
        <v>33.440000000000005</v>
      </c>
      <c r="I14" s="71">
        <v>44.849999999999994</v>
      </c>
      <c r="J14" s="71">
        <v>63.249999999999993</v>
      </c>
      <c r="K14" s="71">
        <v>138</v>
      </c>
      <c r="L14" s="71">
        <v>164.85</v>
      </c>
      <c r="M14" s="71">
        <v>99</v>
      </c>
      <c r="N14" s="71">
        <v>0</v>
      </c>
      <c r="O14" s="71">
        <v>0</v>
      </c>
      <c r="P14" s="71">
        <v>0</v>
      </c>
      <c r="Q14" s="72">
        <v>0</v>
      </c>
    </row>
    <row r="15" spans="2:18" x14ac:dyDescent="0.25">
      <c r="B15" s="95"/>
      <c r="C15" s="4" t="s">
        <v>13</v>
      </c>
      <c r="D15" s="3" t="s">
        <v>34</v>
      </c>
      <c r="E15" s="69">
        <f>SUM(F15:Q15)</f>
        <v>337</v>
      </c>
      <c r="F15" s="73">
        <v>4</v>
      </c>
      <c r="G15" s="74">
        <v>62</v>
      </c>
      <c r="H15" s="74">
        <v>30</v>
      </c>
      <c r="I15" s="74">
        <v>87</v>
      </c>
      <c r="J15" s="74">
        <v>79</v>
      </c>
      <c r="K15" s="74">
        <v>7</v>
      </c>
      <c r="L15" s="74">
        <v>59</v>
      </c>
      <c r="M15" s="74">
        <v>9</v>
      </c>
      <c r="N15" s="74">
        <v>0</v>
      </c>
      <c r="O15" s="74">
        <v>0</v>
      </c>
      <c r="P15" s="74">
        <v>0</v>
      </c>
      <c r="Q15" s="75">
        <v>0</v>
      </c>
    </row>
    <row r="16" spans="2:18" x14ac:dyDescent="0.25">
      <c r="B16" s="95"/>
      <c r="C16" s="4" t="s">
        <v>66</v>
      </c>
      <c r="D16" s="3" t="s">
        <v>34</v>
      </c>
      <c r="E16" s="69">
        <f>SUM(F16:Q16)</f>
        <v>224.98999999999998</v>
      </c>
      <c r="F16" s="69">
        <f t="shared" ref="F16:Q16" si="0">F14-F15</f>
        <v>-4</v>
      </c>
      <c r="G16" s="69">
        <f t="shared" si="0"/>
        <v>-43.4</v>
      </c>
      <c r="H16" s="69">
        <f t="shared" si="0"/>
        <v>3.4400000000000048</v>
      </c>
      <c r="I16" s="69">
        <f t="shared" si="0"/>
        <v>-42.150000000000006</v>
      </c>
      <c r="J16" s="69">
        <f t="shared" si="0"/>
        <v>-15.750000000000007</v>
      </c>
      <c r="K16" s="69">
        <f t="shared" si="0"/>
        <v>131</v>
      </c>
      <c r="L16" s="69">
        <f t="shared" si="0"/>
        <v>105.85</v>
      </c>
      <c r="M16" s="69">
        <f t="shared" si="0"/>
        <v>90</v>
      </c>
      <c r="N16" s="69">
        <f t="shared" si="0"/>
        <v>0</v>
      </c>
      <c r="O16" s="69">
        <f t="shared" si="0"/>
        <v>0</v>
      </c>
      <c r="P16" s="69">
        <f t="shared" si="0"/>
        <v>0</v>
      </c>
      <c r="Q16" s="76">
        <f t="shared" si="0"/>
        <v>0</v>
      </c>
      <c r="R16" s="6" t="s">
        <v>67</v>
      </c>
    </row>
    <row r="17" spans="2:21" ht="17.399999999999999" x14ac:dyDescent="0.3">
      <c r="B17" s="95"/>
      <c r="C17" s="4" t="s">
        <v>68</v>
      </c>
      <c r="D17" s="3" t="s">
        <v>69</v>
      </c>
      <c r="E17" s="69"/>
      <c r="F17" s="69">
        <f>$D$8*F16</f>
        <v>-30.6</v>
      </c>
      <c r="G17" s="69">
        <f>$D$8*G16</f>
        <v>-332.01</v>
      </c>
      <c r="H17" s="69">
        <f>$D$8*H16</f>
        <v>26.316000000000038</v>
      </c>
      <c r="I17" s="69">
        <f t="shared" ref="I17:Q17" si="1">$D$8*I16</f>
        <v>-322.44750000000005</v>
      </c>
      <c r="J17" s="69">
        <f t="shared" si="1"/>
        <v>-120.48750000000005</v>
      </c>
      <c r="K17" s="69">
        <f>$D$8*K16</f>
        <v>1002.1500000000001</v>
      </c>
      <c r="L17" s="69">
        <f t="shared" si="1"/>
        <v>809.75249999999994</v>
      </c>
      <c r="M17" s="69">
        <f t="shared" si="1"/>
        <v>688.5</v>
      </c>
      <c r="N17" s="69">
        <f t="shared" si="1"/>
        <v>0</v>
      </c>
      <c r="O17" s="69">
        <f t="shared" si="1"/>
        <v>0</v>
      </c>
      <c r="P17" s="69">
        <f t="shared" si="1"/>
        <v>0</v>
      </c>
      <c r="Q17" s="76">
        <f t="shared" si="1"/>
        <v>0</v>
      </c>
      <c r="T17" s="19"/>
      <c r="U17" s="20"/>
    </row>
    <row r="18" spans="2:21" x14ac:dyDescent="0.25">
      <c r="B18" s="95"/>
      <c r="C18" s="4" t="s">
        <v>18</v>
      </c>
      <c r="D18" s="3" t="s">
        <v>34</v>
      </c>
      <c r="E18" s="69">
        <f>SUM(F18:Q18)</f>
        <v>0</v>
      </c>
      <c r="F18" s="77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9">
        <v>0</v>
      </c>
    </row>
    <row r="19" spans="2:21" x14ac:dyDescent="0.25">
      <c r="B19" s="95"/>
      <c r="C19" s="4" t="s">
        <v>19</v>
      </c>
      <c r="D19" s="3" t="s">
        <v>34</v>
      </c>
      <c r="E19" s="69">
        <f>SUM(F19:Q19)</f>
        <v>0</v>
      </c>
      <c r="F19" s="73">
        <v>0</v>
      </c>
      <c r="G19" s="74">
        <v>0</v>
      </c>
      <c r="H19" s="74">
        <v>0</v>
      </c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5">
        <v>0</v>
      </c>
    </row>
    <row r="20" spans="2:21" x14ac:dyDescent="0.25">
      <c r="B20" s="96"/>
      <c r="C20" s="8" t="s">
        <v>22</v>
      </c>
      <c r="D20" s="17" t="s">
        <v>34</v>
      </c>
      <c r="E20" s="80">
        <f>SUM(F20:Q20)</f>
        <v>105.30000000000001</v>
      </c>
      <c r="F20" s="80">
        <f>MAX(0,F18-F$16-F19)</f>
        <v>4</v>
      </c>
      <c r="G20" s="80">
        <f t="shared" ref="G20:Q20" si="2">MAX(0,G18-G$16-G19)</f>
        <v>43.4</v>
      </c>
      <c r="H20" s="80">
        <f t="shared" si="2"/>
        <v>0</v>
      </c>
      <c r="I20" s="80">
        <f t="shared" si="2"/>
        <v>42.150000000000006</v>
      </c>
      <c r="J20" s="80">
        <f t="shared" si="2"/>
        <v>15.750000000000007</v>
      </c>
      <c r="K20" s="80">
        <f t="shared" si="2"/>
        <v>0</v>
      </c>
      <c r="L20" s="80">
        <f t="shared" si="2"/>
        <v>0</v>
      </c>
      <c r="M20" s="80">
        <f t="shared" si="2"/>
        <v>0</v>
      </c>
      <c r="N20" s="80">
        <f t="shared" si="2"/>
        <v>0</v>
      </c>
      <c r="O20" s="80">
        <f t="shared" si="2"/>
        <v>0</v>
      </c>
      <c r="P20" s="80">
        <f t="shared" si="2"/>
        <v>0</v>
      </c>
      <c r="Q20" s="81">
        <f t="shared" si="2"/>
        <v>0</v>
      </c>
    </row>
    <row r="21" spans="2:21" x14ac:dyDescent="0.25">
      <c r="B21" s="16"/>
    </row>
    <row r="22" spans="2:21" ht="17.399999999999999" x14ac:dyDescent="0.25">
      <c r="B22" s="11" t="s">
        <v>70</v>
      </c>
      <c r="C22" s="9"/>
    </row>
    <row r="23" spans="2:21" ht="15" customHeight="1" x14ac:dyDescent="0.25">
      <c r="B23" s="94" t="s">
        <v>71</v>
      </c>
      <c r="C23" s="5" t="s">
        <v>24</v>
      </c>
      <c r="D23" s="12" t="s">
        <v>69</v>
      </c>
      <c r="E23" s="12"/>
      <c r="F23" s="13">
        <f>2*D4*D5</f>
        <v>3958.2</v>
      </c>
      <c r="G23" s="5">
        <f>F25</f>
        <v>3899.991176470588</v>
      </c>
      <c r="H23" s="5">
        <f>G25</f>
        <v>3319.7388039686221</v>
      </c>
      <c r="I23" s="5">
        <f t="shared" ref="I23:Q23" si="3">H25</f>
        <v>3319.7388039686221</v>
      </c>
      <c r="J23" s="5">
        <f t="shared" si="3"/>
        <v>2839.0139372254202</v>
      </c>
      <c r="K23" s="5">
        <f>J25</f>
        <v>2678.0981675041412</v>
      </c>
      <c r="L23" s="5">
        <f t="shared" si="3"/>
        <v>2678.0981675041412</v>
      </c>
      <c r="M23" s="5">
        <f t="shared" si="3"/>
        <v>2678.0981675041412</v>
      </c>
      <c r="N23" s="5">
        <f t="shared" si="3"/>
        <v>2678.0981675041412</v>
      </c>
      <c r="O23" s="5">
        <f t="shared" si="3"/>
        <v>2678.0981675041412</v>
      </c>
      <c r="P23" s="5">
        <f t="shared" si="3"/>
        <v>2678.0981675041412</v>
      </c>
      <c r="Q23" s="14">
        <f t="shared" si="3"/>
        <v>2678.0981675041412</v>
      </c>
    </row>
    <row r="24" spans="2:21" x14ac:dyDescent="0.25">
      <c r="B24" s="95"/>
      <c r="C24" s="4" t="s">
        <v>25</v>
      </c>
      <c r="D24" s="3" t="s">
        <v>69</v>
      </c>
      <c r="E24" s="3">
        <f>SUM(F24:Q24)</f>
        <v>-1280.1018324958586</v>
      </c>
      <c r="F24" s="4">
        <f t="shared" ref="F24:Q24" si="4">((F$18*$D$8)-(F$20*F23/$D$4))/(1+(F$20/(2*$D$4)))</f>
        <v>-58.208823529411774</v>
      </c>
      <c r="G24" s="4">
        <f t="shared" si="4"/>
        <v>-580.25237250196608</v>
      </c>
      <c r="H24" s="4">
        <f t="shared" si="4"/>
        <v>0</v>
      </c>
      <c r="I24" s="4">
        <f t="shared" si="4"/>
        <v>-480.72486674320174</v>
      </c>
      <c r="J24" s="4">
        <f t="shared" si="4"/>
        <v>-160.91576972127893</v>
      </c>
      <c r="K24" s="4">
        <f t="shared" si="4"/>
        <v>0</v>
      </c>
      <c r="L24" s="4">
        <f t="shared" si="4"/>
        <v>0</v>
      </c>
      <c r="M24" s="4">
        <f t="shared" si="4"/>
        <v>0</v>
      </c>
      <c r="N24" s="4">
        <f t="shared" si="4"/>
        <v>0</v>
      </c>
      <c r="O24" s="4">
        <f t="shared" si="4"/>
        <v>0</v>
      </c>
      <c r="P24" s="4">
        <f t="shared" si="4"/>
        <v>0</v>
      </c>
      <c r="Q24" s="1">
        <f t="shared" si="4"/>
        <v>0</v>
      </c>
    </row>
    <row r="25" spans="2:21" x14ac:dyDescent="0.25">
      <c r="B25" s="95"/>
      <c r="C25" s="4" t="s">
        <v>28</v>
      </c>
      <c r="D25" s="3" t="s">
        <v>69</v>
      </c>
      <c r="E25" s="3"/>
      <c r="F25" s="4">
        <f>F23+F24</f>
        <v>3899.991176470588</v>
      </c>
      <c r="G25" s="4">
        <f>G23+G24</f>
        <v>3319.7388039686221</v>
      </c>
      <c r="H25" s="4">
        <f t="shared" ref="H25:Q25" si="5">H23+H24</f>
        <v>3319.7388039686221</v>
      </c>
      <c r="I25" s="4">
        <f t="shared" si="5"/>
        <v>2839.0139372254202</v>
      </c>
      <c r="J25" s="4">
        <f t="shared" si="5"/>
        <v>2678.0981675041412</v>
      </c>
      <c r="K25" s="4">
        <f t="shared" si="5"/>
        <v>2678.0981675041412</v>
      </c>
      <c r="L25" s="4">
        <f t="shared" si="5"/>
        <v>2678.0981675041412</v>
      </c>
      <c r="M25" s="4">
        <f t="shared" si="5"/>
        <v>2678.0981675041412</v>
      </c>
      <c r="N25" s="4">
        <f t="shared" si="5"/>
        <v>2678.0981675041412</v>
      </c>
      <c r="O25" s="4">
        <f t="shared" si="5"/>
        <v>2678.0981675041412</v>
      </c>
      <c r="P25" s="4">
        <f t="shared" si="5"/>
        <v>2678.0981675041412</v>
      </c>
      <c r="Q25" s="2">
        <f t="shared" si="5"/>
        <v>2678.0981675041412</v>
      </c>
    </row>
    <row r="26" spans="2:21" x14ac:dyDescent="0.25">
      <c r="B26" s="96"/>
      <c r="C26" s="23" t="s">
        <v>30</v>
      </c>
      <c r="D26" s="24" t="s">
        <v>39</v>
      </c>
      <c r="E26" s="25">
        <f>AVERAGEA(F26:Q26)</f>
        <v>5.4696479904188742</v>
      </c>
      <c r="F26" s="26">
        <f t="shared" ref="F26:Q26" si="6">(F23+F25)/(2*2*$D$4)</f>
        <v>7.2761029411764699</v>
      </c>
      <c r="G26" s="26">
        <f t="shared" si="6"/>
        <v>6.6849351670733421</v>
      </c>
      <c r="H26" s="26">
        <f t="shared" si="6"/>
        <v>6.1476644517937444</v>
      </c>
      <c r="I26" s="26">
        <f t="shared" si="6"/>
        <v>5.7025488344389288</v>
      </c>
      <c r="J26" s="26">
        <f t="shared" si="6"/>
        <v>5.1084371340088532</v>
      </c>
      <c r="K26" s="26">
        <f t="shared" si="6"/>
        <v>4.9594410509335951</v>
      </c>
      <c r="L26" s="26">
        <f t="shared" si="6"/>
        <v>4.9594410509335951</v>
      </c>
      <c r="M26" s="26">
        <f t="shared" si="6"/>
        <v>4.9594410509335951</v>
      </c>
      <c r="N26" s="26">
        <f t="shared" si="6"/>
        <v>4.9594410509335951</v>
      </c>
      <c r="O26" s="26">
        <f t="shared" si="6"/>
        <v>4.9594410509335951</v>
      </c>
      <c r="P26" s="26">
        <f t="shared" si="6"/>
        <v>4.9594410509335951</v>
      </c>
      <c r="Q26" s="27">
        <f t="shared" si="6"/>
        <v>4.9594410509335951</v>
      </c>
    </row>
    <row r="27" spans="2:21" ht="15" customHeight="1" x14ac:dyDescent="0.25">
      <c r="B27" s="94" t="s">
        <v>72</v>
      </c>
      <c r="C27" s="5" t="s">
        <v>24</v>
      </c>
      <c r="D27" s="12" t="s">
        <v>69</v>
      </c>
      <c r="E27" s="12"/>
      <c r="F27" s="13">
        <f>Q25</f>
        <v>2678.0981675041412</v>
      </c>
      <c r="G27" s="5">
        <f>F29</f>
        <v>2638.7143709231977</v>
      </c>
      <c r="H27" s="5">
        <f t="shared" ref="H27:P27" si="7">G29</f>
        <v>2246.1185406247173</v>
      </c>
      <c r="I27" s="5">
        <f t="shared" si="7"/>
        <v>2246.1185406247173</v>
      </c>
      <c r="J27" s="5">
        <f t="shared" si="7"/>
        <v>1920.8625190243331</v>
      </c>
      <c r="K27" s="5">
        <f>J29</f>
        <v>1811.9877203751805</v>
      </c>
      <c r="L27" s="5">
        <f t="shared" si="7"/>
        <v>1811.9877203751805</v>
      </c>
      <c r="M27" s="5">
        <f t="shared" si="7"/>
        <v>1811.9877203751805</v>
      </c>
      <c r="N27" s="5">
        <f t="shared" si="7"/>
        <v>1811.9877203751805</v>
      </c>
      <c r="O27" s="5">
        <f t="shared" si="7"/>
        <v>1811.9877203751805</v>
      </c>
      <c r="P27" s="5">
        <f t="shared" si="7"/>
        <v>1811.9877203751805</v>
      </c>
      <c r="Q27" s="14">
        <f>P29</f>
        <v>1811.9877203751805</v>
      </c>
    </row>
    <row r="28" spans="2:21" x14ac:dyDescent="0.25">
      <c r="B28" s="95"/>
      <c r="C28" s="4" t="s">
        <v>25</v>
      </c>
      <c r="D28" s="3" t="s">
        <v>69</v>
      </c>
      <c r="E28" s="3">
        <f>SUM(F28:Q28)</f>
        <v>-866.11044712896069</v>
      </c>
      <c r="F28" s="4">
        <f t="shared" ref="F28:Q28" si="8">((F$18*$D$8)-(F$20*F27/$D$4))/(1+(F$20/(2*$D$4)))</f>
        <v>-39.383796580943262</v>
      </c>
      <c r="G28" s="4">
        <f t="shared" si="8"/>
        <v>-392.59583029848051</v>
      </c>
      <c r="H28" s="4">
        <f t="shared" si="8"/>
        <v>0</v>
      </c>
      <c r="I28" s="4">
        <f t="shared" si="8"/>
        <v>-325.25602160038426</v>
      </c>
      <c r="J28" s="4">
        <f t="shared" si="8"/>
        <v>-108.87479864915252</v>
      </c>
      <c r="K28" s="4">
        <f t="shared" si="8"/>
        <v>0</v>
      </c>
      <c r="L28" s="4">
        <f t="shared" si="8"/>
        <v>0</v>
      </c>
      <c r="M28" s="4">
        <f t="shared" si="8"/>
        <v>0</v>
      </c>
      <c r="N28" s="4">
        <f t="shared" si="8"/>
        <v>0</v>
      </c>
      <c r="O28" s="4">
        <f t="shared" si="8"/>
        <v>0</v>
      </c>
      <c r="P28" s="4">
        <f t="shared" si="8"/>
        <v>0</v>
      </c>
      <c r="Q28" s="1">
        <f t="shared" si="8"/>
        <v>0</v>
      </c>
    </row>
    <row r="29" spans="2:21" x14ac:dyDescent="0.25">
      <c r="B29" s="95"/>
      <c r="C29" s="4" t="s">
        <v>28</v>
      </c>
      <c r="D29" s="3" t="s">
        <v>69</v>
      </c>
      <c r="E29" s="3"/>
      <c r="F29" s="4">
        <f t="shared" ref="F29:Q29" si="9">F27+F28</f>
        <v>2638.7143709231977</v>
      </c>
      <c r="G29" s="4">
        <f>G27+G28</f>
        <v>2246.1185406247173</v>
      </c>
      <c r="H29" s="4">
        <f>H27+H28</f>
        <v>2246.1185406247173</v>
      </c>
      <c r="I29" s="4">
        <f t="shared" si="9"/>
        <v>1920.8625190243331</v>
      </c>
      <c r="J29" s="4">
        <f t="shared" si="9"/>
        <v>1811.9877203751805</v>
      </c>
      <c r="K29" s="4">
        <f t="shared" si="9"/>
        <v>1811.9877203751805</v>
      </c>
      <c r="L29" s="4">
        <f t="shared" si="9"/>
        <v>1811.9877203751805</v>
      </c>
      <c r="M29" s="4">
        <f>M27+M28</f>
        <v>1811.9877203751805</v>
      </c>
      <c r="N29" s="4">
        <f t="shared" si="9"/>
        <v>1811.9877203751805</v>
      </c>
      <c r="O29" s="4">
        <f t="shared" si="9"/>
        <v>1811.9877203751805</v>
      </c>
      <c r="P29" s="4">
        <f t="shared" si="9"/>
        <v>1811.9877203751805</v>
      </c>
      <c r="Q29" s="2">
        <f t="shared" si="9"/>
        <v>1811.9877203751805</v>
      </c>
    </row>
    <row r="30" spans="2:21" x14ac:dyDescent="0.25">
      <c r="B30" s="96"/>
      <c r="C30" s="23" t="s">
        <v>30</v>
      </c>
      <c r="D30" s="24" t="s">
        <v>39</v>
      </c>
      <c r="E30" s="25">
        <f>AVERAGEA(F30:Q30)</f>
        <v>3.7007362589140258</v>
      </c>
      <c r="F30" s="26">
        <f t="shared" ref="F30:Q30" si="10">(F27+F29)/(2*2*$D$4)</f>
        <v>4.9229745726179068</v>
      </c>
      <c r="G30" s="26">
        <f t="shared" si="10"/>
        <v>4.5229934366184406</v>
      </c>
      <c r="H30" s="26">
        <f t="shared" si="10"/>
        <v>4.1594787789346617</v>
      </c>
      <c r="I30" s="26">
        <f t="shared" si="10"/>
        <v>3.8583157959713432</v>
      </c>
      <c r="J30" s="26">
        <f t="shared" si="10"/>
        <v>3.4563428142588091</v>
      </c>
      <c r="K30" s="26">
        <f t="shared" si="10"/>
        <v>3.3555328155095934</v>
      </c>
      <c r="L30" s="26">
        <f t="shared" si="10"/>
        <v>3.3555328155095934</v>
      </c>
      <c r="M30" s="26">
        <f t="shared" si="10"/>
        <v>3.3555328155095934</v>
      </c>
      <c r="N30" s="26">
        <f t="shared" si="10"/>
        <v>3.3555328155095934</v>
      </c>
      <c r="O30" s="26">
        <f t="shared" si="10"/>
        <v>3.3555328155095934</v>
      </c>
      <c r="P30" s="26">
        <f t="shared" si="10"/>
        <v>3.3555328155095934</v>
      </c>
      <c r="Q30" s="27">
        <f t="shared" si="10"/>
        <v>3.3555328155095934</v>
      </c>
    </row>
    <row r="31" spans="2:21" ht="15" customHeight="1" x14ac:dyDescent="0.25">
      <c r="B31" s="94" t="s">
        <v>73</v>
      </c>
      <c r="C31" s="4" t="s">
        <v>24</v>
      </c>
      <c r="D31" s="3" t="s">
        <v>69</v>
      </c>
      <c r="E31" s="3"/>
      <c r="F31" s="28">
        <f>Q29</f>
        <v>1811.9877203751805</v>
      </c>
      <c r="G31" s="4">
        <f>F33</f>
        <v>1785.340842134369</v>
      </c>
      <c r="H31" s="4">
        <f t="shared" ref="H31:Q31" si="11">G33</f>
        <v>1519.7124823516074</v>
      </c>
      <c r="I31" s="4">
        <f t="shared" si="11"/>
        <v>1519.7124823516074</v>
      </c>
      <c r="J31" s="4">
        <f t="shared" si="11"/>
        <v>1299.6458976874478</v>
      </c>
      <c r="K31" s="4">
        <f>J33</f>
        <v>1225.981757737552</v>
      </c>
      <c r="L31" s="4">
        <f t="shared" si="11"/>
        <v>1225.981757737552</v>
      </c>
      <c r="M31" s="4">
        <f t="shared" si="11"/>
        <v>1225.981757737552</v>
      </c>
      <c r="N31" s="4">
        <f t="shared" si="11"/>
        <v>1225.981757737552</v>
      </c>
      <c r="O31" s="4">
        <f t="shared" si="11"/>
        <v>1225.981757737552</v>
      </c>
      <c r="P31" s="4">
        <f t="shared" si="11"/>
        <v>1225.981757737552</v>
      </c>
      <c r="Q31" s="1">
        <f t="shared" si="11"/>
        <v>1225.981757737552</v>
      </c>
    </row>
    <row r="32" spans="2:21" x14ac:dyDescent="0.25">
      <c r="B32" s="95"/>
      <c r="C32" s="4" t="s">
        <v>25</v>
      </c>
      <c r="D32" s="3" t="s">
        <v>69</v>
      </c>
      <c r="E32" s="3">
        <f>SUM(F32:Q32)</f>
        <v>-586.00596263762873</v>
      </c>
      <c r="F32" s="4">
        <f t="shared" ref="F32:Q32" si="12">((F$18*$D$8)-(F$20*F31/$D$4))/(1+(F$20/(2*$D$4)))</f>
        <v>-26.646878240811478</v>
      </c>
      <c r="G32" s="4">
        <f t="shared" si="12"/>
        <v>-265.62835978276178</v>
      </c>
      <c r="H32" s="4">
        <f t="shared" si="12"/>
        <v>0</v>
      </c>
      <c r="I32" s="4">
        <f t="shared" si="12"/>
        <v>-220.06658466415962</v>
      </c>
      <c r="J32" s="4">
        <f t="shared" si="12"/>
        <v>-73.664139949895841</v>
      </c>
      <c r="K32" s="4">
        <f t="shared" si="12"/>
        <v>0</v>
      </c>
      <c r="L32" s="4">
        <f t="shared" si="12"/>
        <v>0</v>
      </c>
      <c r="M32" s="4">
        <f t="shared" si="12"/>
        <v>0</v>
      </c>
      <c r="N32" s="4">
        <f t="shared" si="12"/>
        <v>0</v>
      </c>
      <c r="O32" s="4">
        <f t="shared" si="12"/>
        <v>0</v>
      </c>
      <c r="P32" s="4">
        <f t="shared" si="12"/>
        <v>0</v>
      </c>
      <c r="Q32" s="1">
        <f t="shared" si="12"/>
        <v>0</v>
      </c>
    </row>
    <row r="33" spans="2:17" x14ac:dyDescent="0.25">
      <c r="B33" s="95"/>
      <c r="C33" s="4" t="s">
        <v>28</v>
      </c>
      <c r="D33" s="3" t="s">
        <v>69</v>
      </c>
      <c r="E33" s="3"/>
      <c r="F33" s="4">
        <f t="shared" ref="F33:Q33" si="13">F31+F32</f>
        <v>1785.340842134369</v>
      </c>
      <c r="G33" s="4">
        <f>G31+G32</f>
        <v>1519.7124823516074</v>
      </c>
      <c r="H33" s="4">
        <f t="shared" si="13"/>
        <v>1519.7124823516074</v>
      </c>
      <c r="I33" s="4">
        <f t="shared" si="13"/>
        <v>1299.6458976874478</v>
      </c>
      <c r="J33" s="4">
        <f t="shared" si="13"/>
        <v>1225.981757737552</v>
      </c>
      <c r="K33" s="4">
        <f t="shared" si="13"/>
        <v>1225.981757737552</v>
      </c>
      <c r="L33" s="4">
        <f t="shared" si="13"/>
        <v>1225.981757737552</v>
      </c>
      <c r="M33" s="4">
        <f t="shared" si="13"/>
        <v>1225.981757737552</v>
      </c>
      <c r="N33" s="4">
        <f t="shared" si="13"/>
        <v>1225.981757737552</v>
      </c>
      <c r="O33" s="4">
        <f t="shared" si="13"/>
        <v>1225.981757737552</v>
      </c>
      <c r="P33" s="4">
        <f t="shared" si="13"/>
        <v>1225.981757737552</v>
      </c>
      <c r="Q33" s="2">
        <f t="shared" si="13"/>
        <v>1225.981757737552</v>
      </c>
    </row>
    <row r="34" spans="2:17" x14ac:dyDescent="0.25">
      <c r="B34" s="96"/>
      <c r="C34" s="23" t="s">
        <v>30</v>
      </c>
      <c r="D34" s="24" t="s">
        <v>39</v>
      </c>
      <c r="E34" s="25">
        <f>AVERAGEA(F34:Q34)</f>
        <v>2.503899498108682</v>
      </c>
      <c r="F34" s="26">
        <f t="shared" ref="F34:Q34" si="14">(F31+F33)/(2*2*$D$4)</f>
        <v>3.3308597801014348</v>
      </c>
      <c r="G34" s="26">
        <f t="shared" si="14"/>
        <v>3.0602345597092371</v>
      </c>
      <c r="H34" s="26">
        <f t="shared" si="14"/>
        <v>2.8142823747251988</v>
      </c>
      <c r="I34" s="26">
        <f t="shared" si="14"/>
        <v>2.6105170185546807</v>
      </c>
      <c r="J34" s="26">
        <f t="shared" si="14"/>
        <v>2.3385441253935184</v>
      </c>
      <c r="K34" s="26">
        <f t="shared" si="14"/>
        <v>2.2703365884028739</v>
      </c>
      <c r="L34" s="26">
        <f t="shared" si="14"/>
        <v>2.2703365884028739</v>
      </c>
      <c r="M34" s="26">
        <f t="shared" si="14"/>
        <v>2.2703365884028739</v>
      </c>
      <c r="N34" s="26">
        <f t="shared" si="14"/>
        <v>2.2703365884028739</v>
      </c>
      <c r="O34" s="26">
        <f t="shared" si="14"/>
        <v>2.2703365884028739</v>
      </c>
      <c r="P34" s="26">
        <f t="shared" si="14"/>
        <v>2.2703365884028739</v>
      </c>
      <c r="Q34" s="27">
        <f t="shared" si="14"/>
        <v>2.2703365884028739</v>
      </c>
    </row>
    <row r="35" spans="2:17" ht="15" customHeight="1" x14ac:dyDescent="0.25">
      <c r="B35" s="94" t="s">
        <v>74</v>
      </c>
      <c r="C35" s="4" t="s">
        <v>24</v>
      </c>
      <c r="D35" s="3" t="s">
        <v>69</v>
      </c>
      <c r="E35" s="3"/>
      <c r="F35" s="28">
        <f>Q33</f>
        <v>1225.981757737552</v>
      </c>
      <c r="G35" s="4">
        <f>F37</f>
        <v>1207.9526142414115</v>
      </c>
      <c r="H35" s="4">
        <f>G37</f>
        <v>1028.2298049919179</v>
      </c>
      <c r="I35" s="4">
        <f>H37</f>
        <v>1028.2298049919179</v>
      </c>
      <c r="J35" s="4">
        <f>I37</f>
        <v>879.33386311985976</v>
      </c>
      <c r="K35" s="4">
        <f>J37</f>
        <v>829.49307735598109</v>
      </c>
      <c r="L35" s="4">
        <f t="shared" ref="L35:Q35" si="15">K37</f>
        <v>829.49307735598109</v>
      </c>
      <c r="M35" s="4">
        <f t="shared" si="15"/>
        <v>829.49307735598109</v>
      </c>
      <c r="N35" s="4">
        <f t="shared" si="15"/>
        <v>829.49307735598109</v>
      </c>
      <c r="O35" s="4">
        <f t="shared" si="15"/>
        <v>829.49307735598109</v>
      </c>
      <c r="P35" s="4">
        <f t="shared" si="15"/>
        <v>829.49307735598109</v>
      </c>
      <c r="Q35" s="1">
        <f t="shared" si="15"/>
        <v>829.49307735598109</v>
      </c>
    </row>
    <row r="36" spans="2:17" x14ac:dyDescent="0.25">
      <c r="B36" s="95"/>
      <c r="C36" s="4" t="s">
        <v>25</v>
      </c>
      <c r="D36" s="3" t="s">
        <v>69</v>
      </c>
      <c r="E36" s="3">
        <f>SUM(F36:Q36)</f>
        <v>-396.48868038157099</v>
      </c>
      <c r="F36" s="4">
        <f t="shared" ref="F36:Q36" si="16">((F$18*$D$8)-(F$20*F35/$D$4))/(1+(F$20/(2*$D$4)))</f>
        <v>-18.02914349614047</v>
      </c>
      <c r="G36" s="4">
        <f t="shared" si="16"/>
        <v>-179.72280924949354</v>
      </c>
      <c r="H36" s="4">
        <f t="shared" si="16"/>
        <v>0</v>
      </c>
      <c r="I36" s="4">
        <f t="shared" si="16"/>
        <v>-148.89594187205822</v>
      </c>
      <c r="J36" s="4">
        <f t="shared" si="16"/>
        <v>-49.840785763878706</v>
      </c>
      <c r="K36" s="4">
        <f t="shared" si="16"/>
        <v>0</v>
      </c>
      <c r="L36" s="4">
        <f t="shared" si="16"/>
        <v>0</v>
      </c>
      <c r="M36" s="4">
        <f t="shared" si="16"/>
        <v>0</v>
      </c>
      <c r="N36" s="4">
        <f t="shared" si="16"/>
        <v>0</v>
      </c>
      <c r="O36" s="4">
        <f t="shared" si="16"/>
        <v>0</v>
      </c>
      <c r="P36" s="4">
        <f t="shared" si="16"/>
        <v>0</v>
      </c>
      <c r="Q36" s="1">
        <f t="shared" si="16"/>
        <v>0</v>
      </c>
    </row>
    <row r="37" spans="2:17" x14ac:dyDescent="0.25">
      <c r="B37" s="95"/>
      <c r="C37" s="4" t="s">
        <v>28</v>
      </c>
      <c r="D37" s="3" t="s">
        <v>69</v>
      </c>
      <c r="E37" s="3"/>
      <c r="F37" s="4">
        <f t="shared" ref="F37:Q37" si="17">F35+F36</f>
        <v>1207.9526142414115</v>
      </c>
      <c r="G37" s="4">
        <f>G35+G36</f>
        <v>1028.2298049919179</v>
      </c>
      <c r="H37" s="4">
        <f t="shared" si="17"/>
        <v>1028.2298049919179</v>
      </c>
      <c r="I37" s="4">
        <f t="shared" si="17"/>
        <v>879.33386311985976</v>
      </c>
      <c r="J37" s="4">
        <f t="shared" si="17"/>
        <v>829.49307735598109</v>
      </c>
      <c r="K37" s="4">
        <f t="shared" si="17"/>
        <v>829.49307735598109</v>
      </c>
      <c r="L37" s="4">
        <f t="shared" si="17"/>
        <v>829.49307735598109</v>
      </c>
      <c r="M37" s="4">
        <f t="shared" si="17"/>
        <v>829.49307735598109</v>
      </c>
      <c r="N37" s="4">
        <f t="shared" si="17"/>
        <v>829.49307735598109</v>
      </c>
      <c r="O37" s="4">
        <f t="shared" si="17"/>
        <v>829.49307735598109</v>
      </c>
      <c r="P37" s="4">
        <f t="shared" si="17"/>
        <v>829.49307735598109</v>
      </c>
      <c r="Q37" s="2">
        <f t="shared" si="17"/>
        <v>829.49307735598109</v>
      </c>
    </row>
    <row r="38" spans="2:17" x14ac:dyDescent="0.25">
      <c r="B38" s="96"/>
      <c r="C38" s="23" t="s">
        <v>30</v>
      </c>
      <c r="D38" s="24" t="s">
        <v>39</v>
      </c>
      <c r="E38" s="25">
        <f>AVERAGEA(F38:Q38)</f>
        <v>1.6941257787629231</v>
      </c>
      <c r="F38" s="26">
        <f t="shared" ref="F38:Q38" si="18">(F35+F37)/(2*2*$D$4)</f>
        <v>2.2536429370175588</v>
      </c>
      <c r="G38" s="26">
        <f t="shared" si="18"/>
        <v>2.0705392770678981</v>
      </c>
      <c r="H38" s="26">
        <f t="shared" si="18"/>
        <v>1.9041292685035518</v>
      </c>
      <c r="I38" s="26">
        <f t="shared" si="18"/>
        <v>1.7662626556590533</v>
      </c>
      <c r="J38" s="26">
        <f t="shared" si="18"/>
        <v>1.58224716710726</v>
      </c>
      <c r="K38" s="26">
        <f t="shared" si="18"/>
        <v>1.536098291399965</v>
      </c>
      <c r="L38" s="26">
        <f t="shared" si="18"/>
        <v>1.536098291399965</v>
      </c>
      <c r="M38" s="26">
        <f t="shared" si="18"/>
        <v>1.536098291399965</v>
      </c>
      <c r="N38" s="26">
        <f t="shared" si="18"/>
        <v>1.536098291399965</v>
      </c>
      <c r="O38" s="26">
        <f t="shared" si="18"/>
        <v>1.536098291399965</v>
      </c>
      <c r="P38" s="26">
        <f t="shared" si="18"/>
        <v>1.536098291399965</v>
      </c>
      <c r="Q38" s="27">
        <f t="shared" si="18"/>
        <v>1.536098291399965</v>
      </c>
    </row>
    <row r="39" spans="2:17" ht="15" customHeight="1" x14ac:dyDescent="0.25">
      <c r="B39" s="94" t="s">
        <v>75</v>
      </c>
      <c r="C39" s="4" t="s">
        <v>24</v>
      </c>
      <c r="D39" s="3" t="s">
        <v>69</v>
      </c>
      <c r="E39" s="3"/>
      <c r="F39" s="28">
        <f>Q37</f>
        <v>829.49307735598109</v>
      </c>
      <c r="G39" s="4">
        <f>F41</f>
        <v>817.2946497478049</v>
      </c>
      <c r="H39" s="4">
        <f>G41</f>
        <v>695.69510295639338</v>
      </c>
      <c r="I39" s="4">
        <f>H41</f>
        <v>695.69510295639338</v>
      </c>
      <c r="J39" s="4">
        <f>I41</f>
        <v>594.95285924047141</v>
      </c>
      <c r="K39" s="4">
        <f>J41</f>
        <v>561.23083483008031</v>
      </c>
      <c r="L39" s="4">
        <f t="shared" ref="L39:Q39" si="19">K41</f>
        <v>561.23083483008031</v>
      </c>
      <c r="M39" s="4">
        <f t="shared" si="19"/>
        <v>561.23083483008031</v>
      </c>
      <c r="N39" s="4">
        <f t="shared" si="19"/>
        <v>561.23083483008031</v>
      </c>
      <c r="O39" s="4">
        <f t="shared" si="19"/>
        <v>561.23083483008031</v>
      </c>
      <c r="P39" s="4">
        <f t="shared" si="19"/>
        <v>561.23083483008031</v>
      </c>
      <c r="Q39" s="1">
        <f t="shared" si="19"/>
        <v>561.23083483008031</v>
      </c>
    </row>
    <row r="40" spans="2:17" x14ac:dyDescent="0.25">
      <c r="B40" s="95"/>
      <c r="C40" s="4" t="s">
        <v>25</v>
      </c>
      <c r="D40" s="3" t="s">
        <v>69</v>
      </c>
      <c r="E40" s="3">
        <f>SUM(F40:Q40)</f>
        <v>-268.26224252590072</v>
      </c>
      <c r="F40" s="4">
        <f t="shared" ref="F40:Q40" si="20">((F$18*$D$8)-(F$20*F39/$D$4))/(1+(F$20/(2*$D$4)))</f>
        <v>-12.198427608176194</v>
      </c>
      <c r="G40" s="4">
        <f t="shared" si="20"/>
        <v>-121.59954679141147</v>
      </c>
      <c r="H40" s="4">
        <f t="shared" si="20"/>
        <v>0</v>
      </c>
      <c r="I40" s="4">
        <f t="shared" si="20"/>
        <v>-100.74224371592196</v>
      </c>
      <c r="J40" s="4">
        <f t="shared" si="20"/>
        <v>-33.722024410391107</v>
      </c>
      <c r="K40" s="4">
        <f t="shared" si="20"/>
        <v>0</v>
      </c>
      <c r="L40" s="4">
        <f t="shared" si="20"/>
        <v>0</v>
      </c>
      <c r="M40" s="4">
        <f t="shared" si="20"/>
        <v>0</v>
      </c>
      <c r="N40" s="4">
        <f t="shared" si="20"/>
        <v>0</v>
      </c>
      <c r="O40" s="4">
        <f t="shared" si="20"/>
        <v>0</v>
      </c>
      <c r="P40" s="4">
        <f t="shared" si="20"/>
        <v>0</v>
      </c>
      <c r="Q40" s="1">
        <f t="shared" si="20"/>
        <v>0</v>
      </c>
    </row>
    <row r="41" spans="2:17" x14ac:dyDescent="0.25">
      <c r="B41" s="95"/>
      <c r="C41" s="4" t="s">
        <v>28</v>
      </c>
      <c r="D41" s="3" t="s">
        <v>69</v>
      </c>
      <c r="E41" s="3"/>
      <c r="F41" s="4">
        <f t="shared" ref="F41:Q41" si="21">F39+F40</f>
        <v>817.2946497478049</v>
      </c>
      <c r="G41" s="4">
        <f>G39+G40</f>
        <v>695.69510295639338</v>
      </c>
      <c r="H41" s="4">
        <f t="shared" si="21"/>
        <v>695.69510295639338</v>
      </c>
      <c r="I41" s="4">
        <f t="shared" si="21"/>
        <v>594.95285924047141</v>
      </c>
      <c r="J41" s="4">
        <f t="shared" si="21"/>
        <v>561.23083483008031</v>
      </c>
      <c r="K41" s="4">
        <f t="shared" si="21"/>
        <v>561.23083483008031</v>
      </c>
      <c r="L41" s="4">
        <f t="shared" si="21"/>
        <v>561.23083483008031</v>
      </c>
      <c r="M41" s="4">
        <f t="shared" si="21"/>
        <v>561.23083483008031</v>
      </c>
      <c r="N41" s="4">
        <f t="shared" si="21"/>
        <v>561.23083483008031</v>
      </c>
      <c r="O41" s="4">
        <f t="shared" si="21"/>
        <v>561.23083483008031</v>
      </c>
      <c r="P41" s="4">
        <f t="shared" si="21"/>
        <v>561.23083483008031</v>
      </c>
      <c r="Q41" s="2">
        <f t="shared" si="21"/>
        <v>561.23083483008031</v>
      </c>
    </row>
    <row r="42" spans="2:17" x14ac:dyDescent="0.25">
      <c r="B42" s="96"/>
      <c r="C42" s="23" t="s">
        <v>30</v>
      </c>
      <c r="D42" s="24" t="s">
        <v>39</v>
      </c>
      <c r="E42" s="25">
        <f>AVERAGEA(F42:Q42)</f>
        <v>1.1462369621612121</v>
      </c>
      <c r="F42" s="26">
        <f t="shared" ref="F42:Q42" si="22">(F39+F41)/(2*2*$D$4)</f>
        <v>1.5248034510220241</v>
      </c>
      <c r="G42" s="26">
        <f t="shared" si="22"/>
        <v>1.4009164376890726</v>
      </c>
      <c r="H42" s="26">
        <f t="shared" si="22"/>
        <v>1.2883242647340618</v>
      </c>
      <c r="I42" s="26">
        <f t="shared" si="22"/>
        <v>1.1950444094415413</v>
      </c>
      <c r="J42" s="26">
        <f t="shared" si="22"/>
        <v>1.0705404574727331</v>
      </c>
      <c r="K42" s="26">
        <f t="shared" si="22"/>
        <v>1.0393163607964451</v>
      </c>
      <c r="L42" s="26">
        <f t="shared" si="22"/>
        <v>1.0393163607964451</v>
      </c>
      <c r="M42" s="26">
        <f t="shared" si="22"/>
        <v>1.0393163607964451</v>
      </c>
      <c r="N42" s="26">
        <f t="shared" si="22"/>
        <v>1.0393163607964451</v>
      </c>
      <c r="O42" s="26">
        <f t="shared" si="22"/>
        <v>1.0393163607964451</v>
      </c>
      <c r="P42" s="26">
        <f t="shared" si="22"/>
        <v>1.0393163607964451</v>
      </c>
      <c r="Q42" s="27">
        <f t="shared" si="22"/>
        <v>1.0393163607964451</v>
      </c>
    </row>
    <row r="44" spans="2:17" ht="17.399999999999999" x14ac:dyDescent="0.25">
      <c r="B44" s="11" t="s">
        <v>76</v>
      </c>
    </row>
    <row r="45" spans="2:17" x14ac:dyDescent="0.25">
      <c r="B45" s="94" t="s">
        <v>77</v>
      </c>
      <c r="C45" s="5" t="s">
        <v>24</v>
      </c>
      <c r="D45" s="12" t="s">
        <v>69</v>
      </c>
      <c r="E45" s="12"/>
      <c r="F45" s="13">
        <f>F23 - E24*(F27-F23)/(E28-E24)</f>
        <v>0</v>
      </c>
      <c r="G45" s="5">
        <f>F47</f>
        <v>0</v>
      </c>
      <c r="H45" s="5">
        <f>G47</f>
        <v>0</v>
      </c>
      <c r="I45" s="5">
        <f>H47</f>
        <v>0</v>
      </c>
      <c r="J45" s="5">
        <f>I47</f>
        <v>0</v>
      </c>
      <c r="K45" s="5">
        <f>J47</f>
        <v>0</v>
      </c>
      <c r="L45" s="5">
        <f t="shared" ref="L45:Q45" si="23">K47</f>
        <v>0</v>
      </c>
      <c r="M45" s="5">
        <f t="shared" si="23"/>
        <v>0</v>
      </c>
      <c r="N45" s="5">
        <f t="shared" si="23"/>
        <v>0</v>
      </c>
      <c r="O45" s="5">
        <f t="shared" si="23"/>
        <v>0</v>
      </c>
      <c r="P45" s="5">
        <f t="shared" si="23"/>
        <v>0</v>
      </c>
      <c r="Q45" s="14">
        <f t="shared" si="23"/>
        <v>0</v>
      </c>
    </row>
    <row r="46" spans="2:17" x14ac:dyDescent="0.25">
      <c r="B46" s="95"/>
      <c r="C46" s="4" t="s">
        <v>25</v>
      </c>
      <c r="D46" s="3" t="s">
        <v>69</v>
      </c>
      <c r="E46" s="3">
        <f>SUM(F46:Q46)</f>
        <v>0</v>
      </c>
      <c r="F46" s="4">
        <f t="shared" ref="F46:Q46" si="24">((F$18*$D$8)-(F$20*F45/$D$4))/(1+(F$20/(2*$D$4)))</f>
        <v>0</v>
      </c>
      <c r="G46" s="4">
        <f t="shared" si="24"/>
        <v>0</v>
      </c>
      <c r="H46" s="4">
        <f t="shared" si="24"/>
        <v>0</v>
      </c>
      <c r="I46" s="4">
        <f t="shared" si="24"/>
        <v>0</v>
      </c>
      <c r="J46" s="4">
        <f t="shared" si="24"/>
        <v>0</v>
      </c>
      <c r="K46" s="4">
        <f t="shared" si="24"/>
        <v>0</v>
      </c>
      <c r="L46" s="4">
        <f t="shared" si="24"/>
        <v>0</v>
      </c>
      <c r="M46" s="4">
        <f t="shared" si="24"/>
        <v>0</v>
      </c>
      <c r="N46" s="4">
        <f t="shared" si="24"/>
        <v>0</v>
      </c>
      <c r="O46" s="4">
        <f t="shared" si="24"/>
        <v>0</v>
      </c>
      <c r="P46" s="4">
        <f t="shared" si="24"/>
        <v>0</v>
      </c>
      <c r="Q46" s="4">
        <f t="shared" si="24"/>
        <v>0</v>
      </c>
    </row>
    <row r="47" spans="2:17" x14ac:dyDescent="0.25">
      <c r="B47" s="95"/>
      <c r="C47" s="4" t="s">
        <v>28</v>
      </c>
      <c r="D47" s="3" t="s">
        <v>69</v>
      </c>
      <c r="E47" s="3"/>
      <c r="F47" s="4">
        <f>F45+F46</f>
        <v>0</v>
      </c>
      <c r="G47" s="4">
        <f>G45+G46</f>
        <v>0</v>
      </c>
      <c r="H47" s="4">
        <f t="shared" ref="H47:P47" si="25">H45+H46</f>
        <v>0</v>
      </c>
      <c r="I47" s="4">
        <f t="shared" si="25"/>
        <v>0</v>
      </c>
      <c r="J47" s="4">
        <f t="shared" si="25"/>
        <v>0</v>
      </c>
      <c r="K47" s="4">
        <f t="shared" si="25"/>
        <v>0</v>
      </c>
      <c r="L47" s="4">
        <f t="shared" si="25"/>
        <v>0</v>
      </c>
      <c r="M47" s="4">
        <f t="shared" si="25"/>
        <v>0</v>
      </c>
      <c r="N47" s="4">
        <f t="shared" si="25"/>
        <v>0</v>
      </c>
      <c r="O47" s="4">
        <f t="shared" si="25"/>
        <v>0</v>
      </c>
      <c r="P47" s="4">
        <f t="shared" si="25"/>
        <v>0</v>
      </c>
      <c r="Q47" s="28">
        <f>Q45+Q46</f>
        <v>0</v>
      </c>
    </row>
    <row r="48" spans="2:17" x14ac:dyDescent="0.25">
      <c r="B48" s="96"/>
      <c r="C48" s="23" t="s">
        <v>30</v>
      </c>
      <c r="D48" s="24" t="s">
        <v>39</v>
      </c>
      <c r="E48" s="25">
        <f>AVERAGEA(F48:Q48)</f>
        <v>0</v>
      </c>
      <c r="F48" s="26">
        <f t="shared" ref="F48:Q48" si="26">(F45+F47)/(2*2*$D$4)</f>
        <v>0</v>
      </c>
      <c r="G48" s="26">
        <f t="shared" si="26"/>
        <v>0</v>
      </c>
      <c r="H48" s="26">
        <f t="shared" si="26"/>
        <v>0</v>
      </c>
      <c r="I48" s="26">
        <f t="shared" si="26"/>
        <v>0</v>
      </c>
      <c r="J48" s="26">
        <f t="shared" si="26"/>
        <v>0</v>
      </c>
      <c r="K48" s="26">
        <f t="shared" si="26"/>
        <v>0</v>
      </c>
      <c r="L48" s="26">
        <f t="shared" si="26"/>
        <v>0</v>
      </c>
      <c r="M48" s="26">
        <f t="shared" si="26"/>
        <v>0</v>
      </c>
      <c r="N48" s="26">
        <f t="shared" si="26"/>
        <v>0</v>
      </c>
      <c r="O48" s="26">
        <f t="shared" si="26"/>
        <v>0</v>
      </c>
      <c r="P48" s="26">
        <f t="shared" si="26"/>
        <v>0</v>
      </c>
      <c r="Q48" s="27">
        <f t="shared" si="26"/>
        <v>0</v>
      </c>
    </row>
    <row r="51" spans="1:7" ht="18.600000000000001" customHeight="1" thickBot="1" x14ac:dyDescent="0.3">
      <c r="B51" s="63" t="s">
        <v>81</v>
      </c>
      <c r="C51" s="64" t="s">
        <v>53</v>
      </c>
      <c r="D51" s="65" t="s">
        <v>82</v>
      </c>
      <c r="E51" s="65" t="s">
        <v>84</v>
      </c>
      <c r="F51" s="64" t="s">
        <v>83</v>
      </c>
      <c r="G51" s="66" t="s">
        <v>85</v>
      </c>
    </row>
    <row r="52" spans="1:7" x14ac:dyDescent="0.25">
      <c r="B52" s="59">
        <f>D5</f>
        <v>7.33</v>
      </c>
      <c r="C52" s="60" t="s">
        <v>78</v>
      </c>
      <c r="D52" s="59">
        <f>B52</f>
        <v>7.33</v>
      </c>
      <c r="E52" s="59">
        <f>D52-B52</f>
        <v>0</v>
      </c>
      <c r="F52" s="59">
        <f>B52</f>
        <v>7.33</v>
      </c>
      <c r="G52" s="59">
        <f>B52-F52</f>
        <v>0</v>
      </c>
    </row>
    <row r="53" spans="1:7" x14ac:dyDescent="0.25">
      <c r="B53" s="59">
        <f>E26</f>
        <v>5.4696479904188742</v>
      </c>
      <c r="C53" s="60" t="s">
        <v>71</v>
      </c>
      <c r="D53" s="59">
        <f>MAX(F26:Q26)</f>
        <v>7.2761029411764699</v>
      </c>
      <c r="E53" s="59">
        <f>D53-B53</f>
        <v>1.8064549507575958</v>
      </c>
      <c r="F53" s="59">
        <f>MIN(F26:Q26)</f>
        <v>4.9594410509335951</v>
      </c>
      <c r="G53" s="59">
        <f>B53-F53</f>
        <v>0.51020693948527907</v>
      </c>
    </row>
    <row r="54" spans="1:7" x14ac:dyDescent="0.25">
      <c r="B54" s="59">
        <f>E30</f>
        <v>3.7007362589140258</v>
      </c>
      <c r="C54" s="60" t="s">
        <v>72</v>
      </c>
      <c r="D54" s="59">
        <f>MAX(F30:Q30)</f>
        <v>4.9229745726179068</v>
      </c>
      <c r="E54" s="59">
        <f t="shared" ref="E54:E58" si="27">D54-B54</f>
        <v>1.222238313703881</v>
      </c>
      <c r="F54" s="59">
        <f>MIN(F30:Q30)</f>
        <v>3.3555328155095934</v>
      </c>
      <c r="G54" s="59">
        <f t="shared" ref="G54:G58" si="28">B54-F54</f>
        <v>0.34520344340443243</v>
      </c>
    </row>
    <row r="55" spans="1:7" x14ac:dyDescent="0.25">
      <c r="B55" s="59">
        <f>E34</f>
        <v>2.503899498108682</v>
      </c>
      <c r="C55" s="60" t="s">
        <v>73</v>
      </c>
      <c r="D55" s="59">
        <f>MAX(F34:Q34)</f>
        <v>3.3308597801014348</v>
      </c>
      <c r="E55" s="59">
        <f t="shared" si="27"/>
        <v>0.82696028199275284</v>
      </c>
      <c r="F55" s="59">
        <f>MIN(F34:Q34)</f>
        <v>2.2703365884028739</v>
      </c>
      <c r="G55" s="59">
        <f t="shared" si="28"/>
        <v>0.23356290970580806</v>
      </c>
    </row>
    <row r="56" spans="1:7" x14ac:dyDescent="0.25">
      <c r="B56" s="59">
        <f>E38</f>
        <v>1.6941257787629231</v>
      </c>
      <c r="C56" s="60" t="s">
        <v>74</v>
      </c>
      <c r="D56" s="59">
        <f>MAX(F38:Q38)</f>
        <v>2.2536429370175588</v>
      </c>
      <c r="E56" s="59">
        <f t="shared" si="27"/>
        <v>0.55951715825463566</v>
      </c>
      <c r="F56" s="59">
        <f>MIN(F38:Q38)</f>
        <v>1.536098291399965</v>
      </c>
      <c r="G56" s="59">
        <f t="shared" si="28"/>
        <v>0.15802748736295813</v>
      </c>
    </row>
    <row r="57" spans="1:7" x14ac:dyDescent="0.25">
      <c r="B57" s="59">
        <f>E42</f>
        <v>1.1462369621612121</v>
      </c>
      <c r="C57" s="60" t="s">
        <v>75</v>
      </c>
      <c r="D57" s="59">
        <f>MAX(F42:Q42)</f>
        <v>1.5248034510220241</v>
      </c>
      <c r="E57" s="59">
        <f>D57-B57</f>
        <v>0.37856648886081201</v>
      </c>
      <c r="F57" s="59">
        <f>MIN(F42:Q42)</f>
        <v>1.0393163607964451</v>
      </c>
      <c r="G57" s="59">
        <f t="shared" si="28"/>
        <v>0.106920601364767</v>
      </c>
    </row>
    <row r="58" spans="1:7" x14ac:dyDescent="0.25">
      <c r="B58" s="61">
        <f>E48</f>
        <v>0</v>
      </c>
      <c r="C58" s="62" t="s">
        <v>77</v>
      </c>
      <c r="D58" s="61">
        <f>MAX(F48:Q48)</f>
        <v>0</v>
      </c>
      <c r="E58" s="61">
        <f t="shared" si="27"/>
        <v>0</v>
      </c>
      <c r="F58" s="61">
        <f>MIN(F48:Q48)</f>
        <v>0</v>
      </c>
      <c r="G58" s="61">
        <f t="shared" si="28"/>
        <v>0</v>
      </c>
    </row>
    <row r="59" spans="1:7" x14ac:dyDescent="0.25">
      <c r="A59" s="52"/>
    </row>
    <row r="60" spans="1:7" x14ac:dyDescent="0.25">
      <c r="A60" s="52"/>
    </row>
    <row r="61" spans="1:7" x14ac:dyDescent="0.25">
      <c r="A61" s="52"/>
    </row>
    <row r="62" spans="1:7" x14ac:dyDescent="0.25">
      <c r="A62" s="52"/>
    </row>
    <row r="63" spans="1:7" x14ac:dyDescent="0.25">
      <c r="A63" s="52"/>
    </row>
    <row r="64" spans="1:7" x14ac:dyDescent="0.25">
      <c r="A64" s="52"/>
    </row>
    <row r="65" spans="1:1" x14ac:dyDescent="0.25">
      <c r="A65" s="52"/>
    </row>
  </sheetData>
  <mergeCells count="10">
    <mergeCell ref="B35:B38"/>
    <mergeCell ref="B39:B42"/>
    <mergeCell ref="B45:B48"/>
    <mergeCell ref="B4:B10"/>
    <mergeCell ref="I7:J7"/>
    <mergeCell ref="B13:B20"/>
    <mergeCell ref="B23:B26"/>
    <mergeCell ref="B27:B30"/>
    <mergeCell ref="G4:G9"/>
    <mergeCell ref="B31:B34"/>
  </mergeCells>
  <pageMargins left="0.5" right="0.5" top="0.5" bottom="0.5" header="0.5" footer="0.5"/>
  <pageSetup paperSize="9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B6F996E257A2428B7BC5B0E146C129" ma:contentTypeVersion="15" ma:contentTypeDescription="Create a new document." ma:contentTypeScope="" ma:versionID="748bd98117160fe6b63674f4efe6611b">
  <xsd:schema xmlns:xsd="http://www.w3.org/2001/XMLSchema" xmlns:xs="http://www.w3.org/2001/XMLSchema" xmlns:p="http://schemas.microsoft.com/office/2006/metadata/properties" xmlns:ns2="20eecadc-a8b7-4e4a-b335-14095a080e4d" xmlns:ns3="d2c402eb-5f61-4d4a-bea6-314efc7c154b" targetNamespace="http://schemas.microsoft.com/office/2006/metadata/properties" ma:root="true" ma:fieldsID="eeb19c687ff652de16ef3f449fa96af3" ns2:_="" ns3:_="">
    <xsd:import namespace="20eecadc-a8b7-4e4a-b335-14095a080e4d"/>
    <xsd:import namespace="d2c402eb-5f61-4d4a-bea6-314efc7c15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eecadc-a8b7-4e4a-b335-14095a080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c402eb-5f61-4d4a-bea6-314efc7c154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a279477-5f1a-4185-a6da-e1ab0901fdae}" ma:internalName="TaxCatchAll" ma:showField="CatchAllData" ma:web="d2c402eb-5f61-4d4a-bea6-314efc7c15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c402eb-5f61-4d4a-bea6-314efc7c154b"/>
    <lcf76f155ced4ddcb4097134ff3c332f xmlns="20eecadc-a8b7-4e4a-b335-14095a080e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91665E-EBC5-4EDD-8D7C-21B0496138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D75BD8-9BA2-4D0F-8405-1BA07B7A6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eecadc-a8b7-4e4a-b335-14095a080e4d"/>
    <ds:schemaRef ds:uri="d2c402eb-5f61-4d4a-bea6-314efc7c15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1B8F2A-02F8-40FB-B0AF-DFC4643DCE08}">
  <ds:schemaRefs>
    <ds:schemaRef ds:uri="http://purl.org/dc/dcmitype/"/>
    <ds:schemaRef ds:uri="http://purl.org/dc/terms/"/>
    <ds:schemaRef ds:uri="20eecadc-a8b7-4e4a-b335-14095a080e4d"/>
    <ds:schemaRef ds:uri="http://www.w3.org/XML/1998/namespace"/>
    <ds:schemaRef ds:uri="http://purl.org/dc/elements/1.1/"/>
    <ds:schemaRef ds:uri="d2c402eb-5f61-4d4a-bea6-314efc7c15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Explanation</vt:lpstr>
      <vt:lpstr>Balance (Optimized)</vt:lpstr>
      <vt:lpstr>Balance (Manual)</vt:lpstr>
      <vt:lpstr>'Balance (Manual)'!Print_Area</vt:lpstr>
      <vt:lpstr>'Balance (Optimized)'!Print_Area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Bart Wessels</dc:creator>
  <cp:keywords/>
  <dc:description/>
  <cp:lastModifiedBy>Bart Wessels</cp:lastModifiedBy>
  <cp:revision/>
  <dcterms:created xsi:type="dcterms:W3CDTF">2002-10-16T18:47:39Z</dcterms:created>
  <dcterms:modified xsi:type="dcterms:W3CDTF">2026-09-28T23:29:47Z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726d3b-6796-48f5-a53d-57abbe9f0891_Enabled">
    <vt:lpwstr>true</vt:lpwstr>
  </property>
  <property fmtid="{D5CDD505-2E9C-101B-9397-08002B2CF9AE}" pid="3" name="MSIP_Label_d2726d3b-6796-48f5-a53d-57abbe9f0891_SetDate">
    <vt:lpwstr>2026-09-04T08:29:04Z</vt:lpwstr>
  </property>
  <property fmtid="{D5CDD505-2E9C-101B-9397-08002B2CF9AE}" pid="4" name="MSIP_Label_d2726d3b-6796-48f5-a53d-57abbe9f0891_Method">
    <vt:lpwstr>Standard</vt:lpwstr>
  </property>
  <property fmtid="{D5CDD505-2E9C-101B-9397-08002B2CF9AE}" pid="5" name="MSIP_Label_d2726d3b-6796-48f5-a53d-57abbe9f0891_Name">
    <vt:lpwstr>Unclassified</vt:lpwstr>
  </property>
  <property fmtid="{D5CDD505-2E9C-101B-9397-08002B2CF9AE}" pid="6" name="MSIP_Label_d2726d3b-6796-48f5-a53d-57abbe9f0891_SiteId">
    <vt:lpwstr>4fc2f3aa-31c4-4dcb-b719-c6c16393e9d3</vt:lpwstr>
  </property>
  <property fmtid="{D5CDD505-2E9C-101B-9397-08002B2CF9AE}" pid="7" name="MSIP_Label_d2726d3b-6796-48f5-a53d-57abbe9f0891_ActionId">
    <vt:lpwstr>ce50a352-eefa-41d0-94fa-5dcf86e308c2</vt:lpwstr>
  </property>
  <property fmtid="{D5CDD505-2E9C-101B-9397-08002B2CF9AE}" pid="8" name="MSIP_Label_d2726d3b-6796-48f5-a53d-57abbe9f0891_ContentBits">
    <vt:lpwstr>0</vt:lpwstr>
  </property>
  <property fmtid="{D5CDD505-2E9C-101B-9397-08002B2CF9AE}" pid="9" name="MSIP_Label_d2726d3b-6796-48f5-a53d-57abbe9f0891_Tag">
    <vt:lpwstr>10, 3, 0, 2</vt:lpwstr>
  </property>
</Properties>
</file>